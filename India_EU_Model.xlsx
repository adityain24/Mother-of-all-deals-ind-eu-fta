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NDIA\Desktop\Ind-EU Deal\"/>
    </mc:Choice>
  </mc:AlternateContent>
  <xr:revisionPtr revIDLastSave="0" documentId="13_ncr:1_{138411E2-F0DE-4CF8-B56D-C15AECAFB4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_master" sheetId="1" r:id="rId1"/>
    <sheet name="tax_parameters" sheetId="2" r:id="rId2"/>
    <sheet name="import_cost_mod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3" l="1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I58" i="3" s="1" a="1"/>
  <c r="I58" i="3" s="1"/>
  <c r="H59" i="3"/>
  <c r="H60" i="3"/>
  <c r="H61" i="3"/>
  <c r="H62" i="3"/>
  <c r="H63" i="3"/>
  <c r="H64" i="3"/>
  <c r="H65" i="3"/>
  <c r="H66" i="3"/>
  <c r="H67" i="3"/>
  <c r="H68" i="3"/>
  <c r="I68" i="3" s="1" a="1"/>
  <c r="I68" i="3" s="1"/>
  <c r="H69" i="3"/>
  <c r="I69" i="3" s="1" a="1"/>
  <c r="I69" i="3" s="1"/>
  <c r="H70" i="3"/>
  <c r="H71" i="3"/>
  <c r="I71" i="3" s="1" a="1"/>
  <c r="I71" i="3" s="1"/>
  <c r="H72" i="3"/>
  <c r="H73" i="3"/>
  <c r="H74" i="3"/>
  <c r="H75" i="3"/>
  <c r="H76" i="3"/>
  <c r="H40" i="3"/>
  <c r="I54" i="3" s="1" a="1"/>
  <c r="I54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40" i="3"/>
  <c r="G2" i="3"/>
  <c r="H3" i="3"/>
  <c r="H4" i="3"/>
  <c r="I4" i="3" s="1" a="1"/>
  <c r="I4" i="3" s="1"/>
  <c r="J4" i="3" s="1"/>
  <c r="L4" i="3" s="1" a="1"/>
  <c r="L4" i="3" s="1"/>
  <c r="H5" i="3"/>
  <c r="I5" i="3" s="1" a="1"/>
  <c r="I5" i="3" s="1"/>
  <c r="J5" i="3" s="1"/>
  <c r="L5" i="3" s="1" a="1"/>
  <c r="L5" i="3" s="1"/>
  <c r="H6" i="3"/>
  <c r="I6" i="3" s="1" a="1"/>
  <c r="I6" i="3" s="1"/>
  <c r="H7" i="3"/>
  <c r="I7" i="3" s="1" a="1"/>
  <c r="I7" i="3" s="1"/>
  <c r="H8" i="3"/>
  <c r="I8" i="3" s="1" a="1"/>
  <c r="I8" i="3" s="1"/>
  <c r="H9" i="3"/>
  <c r="I9" i="3" s="1" a="1"/>
  <c r="I9" i="3" s="1"/>
  <c r="H10" i="3"/>
  <c r="I10" i="3" s="1" a="1"/>
  <c r="I10" i="3" s="1"/>
  <c r="H11" i="3"/>
  <c r="I11" i="3" s="1" a="1"/>
  <c r="I11" i="3" s="1"/>
  <c r="H12" i="3"/>
  <c r="I12" i="3" s="1" a="1"/>
  <c r="I12" i="3" s="1"/>
  <c r="H13" i="3"/>
  <c r="H14" i="3"/>
  <c r="H15" i="3"/>
  <c r="H16" i="3"/>
  <c r="I16" i="3" s="1" a="1"/>
  <c r="I16" i="3" s="1"/>
  <c r="J16" i="3" s="1"/>
  <c r="L16" i="3" s="1" a="1"/>
  <c r="L16" i="3" s="1"/>
  <c r="H17" i="3"/>
  <c r="I17" i="3" s="1" a="1"/>
  <c r="I17" i="3" s="1"/>
  <c r="J17" i="3" s="1"/>
  <c r="L17" i="3" s="1" a="1"/>
  <c r="L17" i="3" s="1"/>
  <c r="H18" i="3"/>
  <c r="I18" i="3" s="1" a="1"/>
  <c r="I18" i="3" s="1"/>
  <c r="H19" i="3"/>
  <c r="I19" i="3" s="1" a="1"/>
  <c r="I19" i="3" s="1"/>
  <c r="H20" i="3"/>
  <c r="I20" i="3" s="1" a="1"/>
  <c r="I20" i="3" s="1"/>
  <c r="H21" i="3"/>
  <c r="I21" i="3" s="1" a="1"/>
  <c r="I21" i="3" s="1"/>
  <c r="H22" i="3"/>
  <c r="I22" i="3" s="1" a="1"/>
  <c r="I22" i="3" s="1"/>
  <c r="H23" i="3"/>
  <c r="I23" i="3" s="1" a="1"/>
  <c r="I23" i="3" s="1"/>
  <c r="H24" i="3"/>
  <c r="I24" i="3" s="1" a="1"/>
  <c r="I24" i="3" s="1"/>
  <c r="H25" i="3"/>
  <c r="I25" i="3" s="1" a="1"/>
  <c r="I25" i="3" s="1"/>
  <c r="H26" i="3"/>
  <c r="H27" i="3"/>
  <c r="H28" i="3"/>
  <c r="I28" i="3" s="1" a="1"/>
  <c r="I28" i="3" s="1"/>
  <c r="J28" i="3" s="1"/>
  <c r="L28" i="3" s="1" a="1"/>
  <c r="L28" i="3" s="1"/>
  <c r="H29" i="3"/>
  <c r="I29" i="3" s="1" a="1"/>
  <c r="I29" i="3" s="1"/>
  <c r="J29" i="3" s="1"/>
  <c r="L29" i="3" s="1" a="1"/>
  <c r="L29" i="3" s="1"/>
  <c r="H30" i="3"/>
  <c r="I30" i="3" s="1" a="1"/>
  <c r="I30" i="3" s="1"/>
  <c r="J30" i="3" s="1"/>
  <c r="L30" i="3" s="1" a="1"/>
  <c r="L30" i="3" s="1"/>
  <c r="H31" i="3"/>
  <c r="I31" i="3" s="1" a="1"/>
  <c r="I31" i="3" s="1"/>
  <c r="H32" i="3"/>
  <c r="I32" i="3" s="1" a="1"/>
  <c r="I32" i="3" s="1"/>
  <c r="H33" i="3"/>
  <c r="I33" i="3" s="1" a="1"/>
  <c r="I33" i="3" s="1"/>
  <c r="H34" i="3"/>
  <c r="I34" i="3" s="1" a="1"/>
  <c r="I34" i="3" s="1"/>
  <c r="H35" i="3"/>
  <c r="I35" i="3" s="1" a="1"/>
  <c r="I35" i="3" s="1"/>
  <c r="H36" i="3"/>
  <c r="I36" i="3" s="1" a="1"/>
  <c r="I36" i="3" s="1"/>
  <c r="H37" i="3"/>
  <c r="H38" i="3"/>
  <c r="H2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I62" i="3" l="1" a="1"/>
  <c r="I62" i="3" s="1"/>
  <c r="J62" i="3" s="1"/>
  <c r="L62" i="3" s="1" a="1"/>
  <c r="L62" i="3" s="1"/>
  <c r="I61" i="3" a="1"/>
  <c r="I61" i="3" s="1"/>
  <c r="J61" i="3" s="1"/>
  <c r="I55" i="3" a="1"/>
  <c r="I55" i="3" s="1"/>
  <c r="I48" i="3" a="1"/>
  <c r="I48" i="3" s="1"/>
  <c r="J48" i="3" s="1"/>
  <c r="I53" i="3" a="1"/>
  <c r="I53" i="3" s="1"/>
  <c r="J63" i="3"/>
  <c r="K63" i="3" s="1" a="1"/>
  <c r="K63" i="3" s="1"/>
  <c r="I73" i="3" a="1"/>
  <c r="I73" i="3" s="1"/>
  <c r="J73" i="3" s="1"/>
  <c r="I50" i="3" a="1"/>
  <c r="I50" i="3" s="1"/>
  <c r="J50" i="3" s="1"/>
  <c r="L50" i="3" s="1" a="1"/>
  <c r="L50" i="3" s="1"/>
  <c r="I72" i="3" a="1"/>
  <c r="I72" i="3" s="1"/>
  <c r="J72" i="3" s="1"/>
  <c r="I46" i="3" a="1"/>
  <c r="I46" i="3" s="1"/>
  <c r="J46" i="3" s="1"/>
  <c r="I67" i="3" a="1"/>
  <c r="I67" i="3" s="1"/>
  <c r="J67" i="3" s="1"/>
  <c r="I42" i="3" a="1"/>
  <c r="I42" i="3" s="1"/>
  <c r="J42" i="3" s="1"/>
  <c r="I63" i="3" a="1"/>
  <c r="I63" i="3" s="1"/>
  <c r="K62" i="3" a="1"/>
  <c r="K62" i="3" s="1"/>
  <c r="I56" i="3" a="1"/>
  <c r="I56" i="3" s="1"/>
  <c r="J56" i="3" s="1"/>
  <c r="I47" i="3" a="1"/>
  <c r="I47" i="3" s="1"/>
  <c r="J47" i="3" s="1"/>
  <c r="I45" i="3" a="1"/>
  <c r="I45" i="3" s="1"/>
  <c r="J58" i="3"/>
  <c r="I44" i="3" a="1"/>
  <c r="I44" i="3" s="1"/>
  <c r="J44" i="3" s="1"/>
  <c r="J69" i="3"/>
  <c r="I70" i="3" a="1"/>
  <c r="I70" i="3" s="1"/>
  <c r="J70" i="3" s="1"/>
  <c r="I52" i="3" a="1"/>
  <c r="I52" i="3" s="1"/>
  <c r="I60" i="3" a="1"/>
  <c r="I60" i="3" s="1"/>
  <c r="I51" i="3" a="1"/>
  <c r="I51" i="3" s="1"/>
  <c r="J68" i="3"/>
  <c r="I59" i="3" a="1"/>
  <c r="I59" i="3" s="1"/>
  <c r="J59" i="3" s="1"/>
  <c r="I43" i="3" a="1"/>
  <c r="I43" i="3" s="1"/>
  <c r="J43" i="3" s="1"/>
  <c r="J55" i="3"/>
  <c r="J71" i="3"/>
  <c r="I2" i="3" a="1"/>
  <c r="I2" i="3" s="1"/>
  <c r="J2" i="3" s="1"/>
  <c r="L2" i="3" s="1" a="1"/>
  <c r="L2" i="3" s="1"/>
  <c r="J54" i="3"/>
  <c r="I76" i="3" a="1"/>
  <c r="I76" i="3" s="1"/>
  <c r="J76" i="3" s="1"/>
  <c r="I66" i="3" a="1"/>
  <c r="I66" i="3" s="1"/>
  <c r="I41" i="3" a="1"/>
  <c r="I41" i="3" s="1"/>
  <c r="J41" i="3" s="1"/>
  <c r="J53" i="3"/>
  <c r="I75" i="3" a="1"/>
  <c r="I75" i="3" s="1"/>
  <c r="I65" i="3" a="1"/>
  <c r="I65" i="3" s="1"/>
  <c r="I57" i="3" a="1"/>
  <c r="I57" i="3" s="1"/>
  <c r="I49" i="3" a="1"/>
  <c r="I49" i="3" s="1"/>
  <c r="I40" i="3" a="1"/>
  <c r="I40" i="3" s="1"/>
  <c r="J40" i="3" s="1"/>
  <c r="I74" i="3" a="1"/>
  <c r="I74" i="3" s="1"/>
  <c r="J74" i="3" s="1"/>
  <c r="I64" i="3" a="1"/>
  <c r="I64" i="3" s="1"/>
  <c r="J64" i="3" s="1"/>
  <c r="J8" i="3"/>
  <c r="J23" i="3"/>
  <c r="J20" i="3"/>
  <c r="K16" i="3" a="1"/>
  <c r="K16" i="3" s="1"/>
  <c r="J24" i="3"/>
  <c r="J35" i="3"/>
  <c r="L35" i="3" s="1" a="1"/>
  <c r="L35" i="3" s="1"/>
  <c r="J34" i="3"/>
  <c r="L34" i="3" s="1" a="1"/>
  <c r="L34" i="3" s="1"/>
  <c r="J9" i="3"/>
  <c r="L9" i="3" s="1" a="1"/>
  <c r="L9" i="3" s="1"/>
  <c r="J6" i="3"/>
  <c r="L6" i="3" s="1" a="1"/>
  <c r="L6" i="3" s="1"/>
  <c r="J25" i="3"/>
  <c r="L25" i="3" s="1" a="1"/>
  <c r="L25" i="3" s="1"/>
  <c r="K17" i="3" a="1"/>
  <c r="K17" i="3" s="1"/>
  <c r="J19" i="3"/>
  <c r="L19" i="3" s="1" a="1"/>
  <c r="L19" i="3" s="1"/>
  <c r="K5" i="3" a="1"/>
  <c r="K5" i="3" s="1"/>
  <c r="K4" i="3" a="1"/>
  <c r="K4" i="3" s="1"/>
  <c r="J12" i="3"/>
  <c r="L12" i="3" s="1" a="1"/>
  <c r="L12" i="3" s="1"/>
  <c r="J32" i="3"/>
  <c r="L32" i="3" s="1" a="1"/>
  <c r="L32" i="3" s="1"/>
  <c r="J7" i="3"/>
  <c r="L7" i="3" s="1" a="1"/>
  <c r="L7" i="3" s="1"/>
  <c r="J33" i="3"/>
  <c r="L33" i="3" s="1" a="1"/>
  <c r="L33" i="3" s="1"/>
  <c r="J18" i="3"/>
  <c r="L18" i="3" s="1" a="1"/>
  <c r="L18" i="3" s="1"/>
  <c r="I3" i="3" a="1"/>
  <c r="I3" i="3" s="1"/>
  <c r="J3" i="3" s="1"/>
  <c r="L3" i="3" s="1" a="1"/>
  <c r="L3" i="3" s="1"/>
  <c r="K30" i="3" a="1"/>
  <c r="K30" i="3" s="1"/>
  <c r="M30" i="3" s="1"/>
  <c r="J36" i="3"/>
  <c r="L36" i="3" s="1" a="1"/>
  <c r="L36" i="3" s="1"/>
  <c r="K29" i="3" a="1"/>
  <c r="K29" i="3" s="1"/>
  <c r="M29" i="3" s="1"/>
  <c r="I37" i="3" a="1"/>
  <c r="I37" i="3" s="1"/>
  <c r="J37" i="3" s="1"/>
  <c r="L37" i="3" s="1" a="1"/>
  <c r="L37" i="3" s="1"/>
  <c r="I27" i="3" a="1"/>
  <c r="I27" i="3" s="1"/>
  <c r="J27" i="3" s="1"/>
  <c r="L27" i="3" s="1" a="1"/>
  <c r="L27" i="3" s="1"/>
  <c r="I14" i="3" a="1"/>
  <c r="I14" i="3" s="1"/>
  <c r="J14" i="3" s="1"/>
  <c r="L14" i="3" s="1" a="1"/>
  <c r="L14" i="3" s="1"/>
  <c r="J11" i="3"/>
  <c r="L11" i="3" s="1" a="1"/>
  <c r="L11" i="3" s="1"/>
  <c r="K28" i="3" a="1"/>
  <c r="K28" i="3" s="1"/>
  <c r="M28" i="3" s="1"/>
  <c r="I15" i="3" a="1"/>
  <c r="I15" i="3" s="1"/>
  <c r="J22" i="3"/>
  <c r="L22" i="3" s="1" a="1"/>
  <c r="L22" i="3" s="1"/>
  <c r="J10" i="3"/>
  <c r="L10" i="3" s="1" a="1"/>
  <c r="L10" i="3" s="1"/>
  <c r="I38" i="3" a="1"/>
  <c r="I38" i="3" s="1"/>
  <c r="J38" i="3" s="1"/>
  <c r="L38" i="3" s="1" a="1"/>
  <c r="L38" i="3" s="1"/>
  <c r="I26" i="3" a="1"/>
  <c r="I26" i="3" s="1"/>
  <c r="J26" i="3" s="1"/>
  <c r="L26" i="3" s="1" a="1"/>
  <c r="L26" i="3" s="1"/>
  <c r="I13" i="3" a="1"/>
  <c r="I13" i="3" s="1"/>
  <c r="J13" i="3" s="1"/>
  <c r="L13" i="3" s="1" a="1"/>
  <c r="L13" i="3" s="1"/>
  <c r="J21" i="3"/>
  <c r="L21" i="3" s="1" a="1"/>
  <c r="L21" i="3" s="1"/>
  <c r="J31" i="3"/>
  <c r="L31" i="3" s="1" a="1"/>
  <c r="L31" i="3" s="1"/>
  <c r="L63" i="3" l="1" a="1"/>
  <c r="L63" i="3" s="1"/>
  <c r="K50" i="3" a="1"/>
  <c r="K50" i="3" s="1"/>
  <c r="M62" i="3"/>
  <c r="N62" i="3" s="1"/>
  <c r="L61" i="3" a="1"/>
  <c r="L61" i="3" s="1"/>
  <c r="K61" i="3" a="1"/>
  <c r="K61" i="3" s="1"/>
  <c r="M61" i="3" s="1"/>
  <c r="N61" i="3" s="1"/>
  <c r="M50" i="3"/>
  <c r="N50" i="3" s="1"/>
  <c r="K34" i="3" a="1"/>
  <c r="K34" i="3" s="1"/>
  <c r="K35" i="3" a="1"/>
  <c r="K35" i="3" s="1"/>
  <c r="M35" i="3" s="1"/>
  <c r="M63" i="3"/>
  <c r="N63" i="3" s="1"/>
  <c r="K64" i="3" a="1"/>
  <c r="K64" i="3" s="1"/>
  <c r="L64" i="3" a="1"/>
  <c r="L64" i="3" s="1"/>
  <c r="K70" i="3" a="1"/>
  <c r="K70" i="3" s="1"/>
  <c r="M70" i="3" s="1"/>
  <c r="N70" i="3" s="1"/>
  <c r="L70" i="3" a="1"/>
  <c r="L70" i="3" s="1"/>
  <c r="K56" i="3" a="1"/>
  <c r="K56" i="3" s="1"/>
  <c r="L56" i="3" a="1"/>
  <c r="L56" i="3" s="1"/>
  <c r="J60" i="3"/>
  <c r="K20" i="3" a="1"/>
  <c r="K20" i="3" s="1"/>
  <c r="L20" i="3" a="1"/>
  <c r="L20" i="3" s="1"/>
  <c r="K43" i="3" a="1"/>
  <c r="K43" i="3" s="1"/>
  <c r="L43" i="3" a="1"/>
  <c r="L43" i="3" s="1"/>
  <c r="L55" i="3" a="1"/>
  <c r="L55" i="3" s="1"/>
  <c r="K55" i="3" a="1"/>
  <c r="K55" i="3" s="1"/>
  <c r="M55" i="3" s="1"/>
  <c r="N55" i="3" s="1"/>
  <c r="K24" i="3" a="1"/>
  <c r="K24" i="3" s="1"/>
  <c r="L24" i="3" a="1"/>
  <c r="L24" i="3" s="1"/>
  <c r="L46" i="3" a="1"/>
  <c r="L46" i="3" s="1"/>
  <c r="K46" i="3" a="1"/>
  <c r="K46" i="3" s="1"/>
  <c r="K71" i="3" a="1"/>
  <c r="K71" i="3" s="1"/>
  <c r="L71" i="3" a="1"/>
  <c r="L71" i="3" s="1"/>
  <c r="K58" i="3" a="1"/>
  <c r="K58" i="3" s="1"/>
  <c r="L58" i="3" a="1"/>
  <c r="L58" i="3" s="1"/>
  <c r="L73" i="3" a="1"/>
  <c r="L73" i="3" s="1"/>
  <c r="K73" i="3" a="1"/>
  <c r="K73" i="3" s="1"/>
  <c r="M73" i="3" s="1"/>
  <c r="N73" i="3" s="1"/>
  <c r="M74" i="3"/>
  <c r="N74" i="3" s="1"/>
  <c r="J52" i="3"/>
  <c r="J45" i="3"/>
  <c r="J66" i="3"/>
  <c r="L44" i="3" a="1"/>
  <c r="L44" i="3" s="1"/>
  <c r="K44" i="3" a="1"/>
  <c r="K44" i="3" s="1"/>
  <c r="M44" i="3" s="1"/>
  <c r="N44" i="3" s="1"/>
  <c r="J57" i="3"/>
  <c r="K23" i="3" a="1"/>
  <c r="K23" i="3" s="1"/>
  <c r="L23" i="3" a="1"/>
  <c r="L23" i="3" s="1"/>
  <c r="L59" i="3" a="1"/>
  <c r="L59" i="3" s="1"/>
  <c r="K59" i="3" a="1"/>
  <c r="K59" i="3" s="1"/>
  <c r="M59" i="3" s="1"/>
  <c r="N59" i="3" s="1"/>
  <c r="K8" i="3" a="1"/>
  <c r="K8" i="3" s="1"/>
  <c r="L8" i="3" a="1"/>
  <c r="L8" i="3" s="1"/>
  <c r="N30" i="3"/>
  <c r="O30" i="3"/>
  <c r="K41" i="3" a="1"/>
  <c r="K41" i="3" s="1"/>
  <c r="L41" i="3" a="1"/>
  <c r="L41" i="3" s="1"/>
  <c r="K74" i="3" a="1"/>
  <c r="K74" i="3" s="1"/>
  <c r="L74" i="3" a="1"/>
  <c r="L74" i="3" s="1"/>
  <c r="L53" i="3" a="1"/>
  <c r="L53" i="3" s="1"/>
  <c r="K53" i="3" a="1"/>
  <c r="K53" i="3" s="1"/>
  <c r="K40" i="3" a="1"/>
  <c r="K40" i="3" s="1"/>
  <c r="L40" i="3" a="1"/>
  <c r="L40" i="3" s="1"/>
  <c r="J65" i="3"/>
  <c r="J51" i="3"/>
  <c r="N28" i="3"/>
  <c r="O28" i="3"/>
  <c r="L76" i="3" a="1"/>
  <c r="L76" i="3" s="1"/>
  <c r="K76" i="3" a="1"/>
  <c r="K76" i="3" s="1"/>
  <c r="L69" i="3" a="1"/>
  <c r="L69" i="3" s="1"/>
  <c r="K69" i="3" a="1"/>
  <c r="K69" i="3" s="1"/>
  <c r="K72" i="3" a="1"/>
  <c r="K72" i="3" s="1"/>
  <c r="L72" i="3" a="1"/>
  <c r="L72" i="3" s="1"/>
  <c r="J75" i="3"/>
  <c r="L48" i="3" a="1"/>
  <c r="L48" i="3" s="1"/>
  <c r="K48" i="3" a="1"/>
  <c r="K48" i="3" s="1"/>
  <c r="M48" i="3" s="1"/>
  <c r="N48" i="3" s="1"/>
  <c r="N29" i="3"/>
  <c r="O29" i="3"/>
  <c r="K42" i="3" a="1"/>
  <c r="K42" i="3" s="1"/>
  <c r="L42" i="3" a="1"/>
  <c r="L42" i="3" s="1"/>
  <c r="K67" i="3" a="1"/>
  <c r="K67" i="3" s="1"/>
  <c r="L67" i="3" a="1"/>
  <c r="L67" i="3" s="1"/>
  <c r="L47" i="3" a="1"/>
  <c r="L47" i="3" s="1"/>
  <c r="K47" i="3" a="1"/>
  <c r="K47" i="3" s="1"/>
  <c r="M47" i="3" s="1"/>
  <c r="N47" i="3" s="1"/>
  <c r="J49" i="3"/>
  <c r="L54" i="3" a="1"/>
  <c r="L54" i="3" s="1"/>
  <c r="K54" i="3" a="1"/>
  <c r="K54" i="3" s="1"/>
  <c r="L68" i="3" a="1"/>
  <c r="L68" i="3" s="1"/>
  <c r="K68" i="3" a="1"/>
  <c r="K68" i="3" s="1"/>
  <c r="M16" i="3"/>
  <c r="M34" i="3"/>
  <c r="M4" i="3"/>
  <c r="K9" i="3" a="1"/>
  <c r="K9" i="3" s="1"/>
  <c r="M9" i="3" s="1"/>
  <c r="M17" i="3"/>
  <c r="M5" i="3"/>
  <c r="K38" i="3" a="1"/>
  <c r="K38" i="3" s="1"/>
  <c r="K25" i="3" a="1"/>
  <c r="K25" i="3" s="1"/>
  <c r="K10" i="3" a="1"/>
  <c r="K10" i="3" s="1"/>
  <c r="J15" i="3"/>
  <c r="L15" i="3" s="1" a="1"/>
  <c r="L15" i="3" s="1"/>
  <c r="K26" i="3" a="1"/>
  <c r="K26" i="3" s="1"/>
  <c r="K6" i="3" a="1"/>
  <c r="K6" i="3" s="1"/>
  <c r="K11" i="3" a="1"/>
  <c r="K11" i="3" s="1"/>
  <c r="K14" i="3" a="1"/>
  <c r="K14" i="3" s="1"/>
  <c r="K12" i="3" a="1"/>
  <c r="K12" i="3" s="1"/>
  <c r="K22" i="3" a="1"/>
  <c r="K22" i="3" s="1"/>
  <c r="K36" i="3" a="1"/>
  <c r="K36" i="3" s="1"/>
  <c r="K3" i="3" a="1"/>
  <c r="K3" i="3" s="1"/>
  <c r="K13" i="3" a="1"/>
  <c r="K13" i="3" s="1"/>
  <c r="K33" i="3" a="1"/>
  <c r="K33" i="3" s="1"/>
  <c r="K7" i="3" a="1"/>
  <c r="K7" i="3" s="1"/>
  <c r="K19" i="3" a="1"/>
  <c r="K19" i="3" s="1"/>
  <c r="K31" i="3" a="1"/>
  <c r="K31" i="3" s="1"/>
  <c r="K21" i="3" a="1"/>
  <c r="K21" i="3" s="1"/>
  <c r="K37" i="3" a="1"/>
  <c r="K37" i="3" s="1"/>
  <c r="K27" i="3" a="1"/>
  <c r="K27" i="3" s="1"/>
  <c r="K18" i="3" a="1"/>
  <c r="K18" i="3" s="1"/>
  <c r="K2" i="3" a="1"/>
  <c r="K2" i="3" s="1"/>
  <c r="M2" i="3" s="1"/>
  <c r="O2" i="3" s="1"/>
  <c r="K32" i="3" a="1"/>
  <c r="K32" i="3" s="1"/>
  <c r="M20" i="3" l="1"/>
  <c r="M64" i="3"/>
  <c r="N64" i="3" s="1"/>
  <c r="M68" i="3"/>
  <c r="N68" i="3" s="1"/>
  <c r="M8" i="3"/>
  <c r="N8" i="3" s="1"/>
  <c r="M72" i="3"/>
  <c r="N72" i="3" s="1"/>
  <c r="M23" i="3"/>
  <c r="M42" i="3"/>
  <c r="N42" i="3" s="1"/>
  <c r="M24" i="3"/>
  <c r="O24" i="3" s="1"/>
  <c r="M76" i="3"/>
  <c r="N76" i="3" s="1"/>
  <c r="M46" i="3"/>
  <c r="N46" i="3" s="1"/>
  <c r="N23" i="3"/>
  <c r="O23" i="3"/>
  <c r="M56" i="3"/>
  <c r="N56" i="3" s="1"/>
  <c r="K45" i="3" a="1"/>
  <c r="K45" i="3" s="1"/>
  <c r="L45" i="3" a="1"/>
  <c r="L45" i="3" s="1"/>
  <c r="K51" i="3" a="1"/>
  <c r="K51" i="3" s="1"/>
  <c r="L51" i="3" a="1"/>
  <c r="L51" i="3" s="1"/>
  <c r="L52" i="3" a="1"/>
  <c r="L52" i="3" s="1"/>
  <c r="K52" i="3" a="1"/>
  <c r="K52" i="3" s="1"/>
  <c r="N20" i="3"/>
  <c r="O20" i="3"/>
  <c r="K49" i="3" a="1"/>
  <c r="K49" i="3" s="1"/>
  <c r="L49" i="3" a="1"/>
  <c r="L49" i="3" s="1"/>
  <c r="L75" i="3" a="1"/>
  <c r="L75" i="3" s="1"/>
  <c r="K75" i="3" a="1"/>
  <c r="K75" i="3" s="1"/>
  <c r="M40" i="3"/>
  <c r="N40" i="3" s="1"/>
  <c r="N9" i="3"/>
  <c r="O9" i="3"/>
  <c r="M53" i="3"/>
  <c r="N53" i="3" s="1"/>
  <c r="M43" i="3"/>
  <c r="N43" i="3" s="1"/>
  <c r="N35" i="3"/>
  <c r="O35" i="3"/>
  <c r="M69" i="3"/>
  <c r="N69" i="3" s="1"/>
  <c r="K57" i="3" a="1"/>
  <c r="K57" i="3" s="1"/>
  <c r="L57" i="3" a="1"/>
  <c r="L57" i="3" s="1"/>
  <c r="M58" i="3"/>
  <c r="N58" i="3" s="1"/>
  <c r="K65" i="3" a="1"/>
  <c r="K65" i="3" s="1"/>
  <c r="L65" i="3" a="1"/>
  <c r="L65" i="3" s="1"/>
  <c r="N34" i="3"/>
  <c r="O34" i="3"/>
  <c r="M67" i="3"/>
  <c r="N67" i="3" s="1"/>
  <c r="M71" i="3"/>
  <c r="N71" i="3" s="1"/>
  <c r="N5" i="3"/>
  <c r="O5" i="3"/>
  <c r="M54" i="3"/>
  <c r="N54" i="3" s="1"/>
  <c r="N4" i="3"/>
  <c r="O4" i="3"/>
  <c r="K60" i="3" a="1"/>
  <c r="K60" i="3" s="1"/>
  <c r="L60" i="3" a="1"/>
  <c r="L60" i="3" s="1"/>
  <c r="M41" i="3"/>
  <c r="N41" i="3" s="1"/>
  <c r="K66" i="3" a="1"/>
  <c r="K66" i="3" s="1"/>
  <c r="L66" i="3" a="1"/>
  <c r="L66" i="3" s="1"/>
  <c r="N17" i="3"/>
  <c r="O17" i="3"/>
  <c r="N16" i="3"/>
  <c r="O16" i="3"/>
  <c r="M21" i="3"/>
  <c r="M32" i="3"/>
  <c r="M3" i="3"/>
  <c r="M10" i="3"/>
  <c r="M27" i="3"/>
  <c r="M25" i="3"/>
  <c r="M11" i="3"/>
  <c r="M37" i="3"/>
  <c r="M38" i="3"/>
  <c r="M26" i="3"/>
  <c r="M7" i="3"/>
  <c r="M14" i="3"/>
  <c r="M18" i="3"/>
  <c r="M12" i="3"/>
  <c r="M33" i="3"/>
  <c r="M13" i="3"/>
  <c r="M19" i="3"/>
  <c r="M6" i="3"/>
  <c r="K15" i="3" a="1"/>
  <c r="K15" i="3" s="1"/>
  <c r="M22" i="3"/>
  <c r="M31" i="3"/>
  <c r="M36" i="3"/>
  <c r="M57" i="3" l="1"/>
  <c r="N57" i="3" s="1"/>
  <c r="M49" i="3"/>
  <c r="N49" i="3" s="1"/>
  <c r="N24" i="3"/>
  <c r="M60" i="3"/>
  <c r="N60" i="3" s="1"/>
  <c r="O8" i="3"/>
  <c r="N6" i="3"/>
  <c r="O6" i="3"/>
  <c r="N25" i="3"/>
  <c r="O25" i="3"/>
  <c r="M45" i="3"/>
  <c r="N45" i="3" s="1"/>
  <c r="N19" i="3"/>
  <c r="O19" i="3"/>
  <c r="N27" i="3"/>
  <c r="O27" i="3"/>
  <c r="M65" i="3"/>
  <c r="N65" i="3" s="1"/>
  <c r="M75" i="3"/>
  <c r="N75" i="3" s="1"/>
  <c r="N36" i="3"/>
  <c r="O36" i="3"/>
  <c r="N26" i="3"/>
  <c r="O26" i="3"/>
  <c r="N37" i="3"/>
  <c r="O37" i="3"/>
  <c r="M51" i="3"/>
  <c r="N51" i="3" s="1"/>
  <c r="N3" i="3"/>
  <c r="O3" i="3"/>
  <c r="N31" i="3"/>
  <c r="O31" i="3"/>
  <c r="N22" i="3"/>
  <c r="O22" i="3"/>
  <c r="N11" i="3"/>
  <c r="O11" i="3"/>
  <c r="N38" i="3"/>
  <c r="O38" i="3"/>
  <c r="M66" i="3"/>
  <c r="N66" i="3" s="1"/>
  <c r="N13" i="3"/>
  <c r="O13" i="3"/>
  <c r="N10" i="3"/>
  <c r="O10" i="3"/>
  <c r="N33" i="3"/>
  <c r="O33" i="3"/>
  <c r="N12" i="3"/>
  <c r="O12" i="3"/>
  <c r="N32" i="3"/>
  <c r="O32" i="3"/>
  <c r="N18" i="3"/>
  <c r="O18" i="3"/>
  <c r="N21" i="3"/>
  <c r="O21" i="3"/>
  <c r="N14" i="3"/>
  <c r="O14" i="3"/>
  <c r="N7" i="3"/>
  <c r="O7" i="3"/>
  <c r="M52" i="3"/>
  <c r="N52" i="3" s="1"/>
  <c r="N2" i="3"/>
  <c r="M15" i="3"/>
  <c r="N15" i="3" l="1"/>
  <c r="O1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<sst xmlns="http://schemas.openxmlformats.org/spreadsheetml/2006/main" count="469" uniqueCount="83">
  <si>
    <t>engine_cc</t>
  </si>
  <si>
    <t>ex_showroom_inr</t>
  </si>
  <si>
    <t>import_cif_inr</t>
  </si>
  <si>
    <t>Mercedes-Benz</t>
  </si>
  <si>
    <t>C-Class</t>
  </si>
  <si>
    <t>Petrol</t>
  </si>
  <si>
    <t>E-Class</t>
  </si>
  <si>
    <t>Diesel</t>
  </si>
  <si>
    <t>BMW</t>
  </si>
  <si>
    <t>3 Series</t>
  </si>
  <si>
    <t>5 Series</t>
  </si>
  <si>
    <t>Audi</t>
  </si>
  <si>
    <t>A4</t>
  </si>
  <si>
    <t>A6</t>
  </si>
  <si>
    <t>scenario</t>
  </si>
  <si>
    <t>bcd_rate</t>
  </si>
  <si>
    <t>sws_rate</t>
  </si>
  <si>
    <t>igst_rate</t>
  </si>
  <si>
    <t>cess_rate</t>
  </si>
  <si>
    <t>No_FTA</t>
  </si>
  <si>
    <t>With_FTA</t>
  </si>
  <si>
    <t>bcd_inr</t>
  </si>
  <si>
    <t>sws_inr</t>
  </si>
  <si>
    <t>igst_base_inr</t>
  </si>
  <si>
    <t>igst_inr</t>
  </si>
  <si>
    <t>cess_inr</t>
  </si>
  <si>
    <t>total_tax_inr</t>
  </si>
  <si>
    <t>landed_cost_inr</t>
  </si>
  <si>
    <t>fta_savings_inr</t>
  </si>
  <si>
    <t>A-Class Limousine</t>
  </si>
  <si>
    <t>GLA</t>
  </si>
  <si>
    <t>GLC</t>
  </si>
  <si>
    <t>brand_name</t>
  </si>
  <si>
    <t>fuel_type</t>
  </si>
  <si>
    <t>A200</t>
  </si>
  <si>
    <t>A200d</t>
  </si>
  <si>
    <t>C200</t>
  </si>
  <si>
    <t>C220d</t>
  </si>
  <si>
    <t>E200</t>
  </si>
  <si>
    <t>E220d</t>
  </si>
  <si>
    <t>220d</t>
  </si>
  <si>
    <t>record_id</t>
  </si>
  <si>
    <t>model_name</t>
  </si>
  <si>
    <t>trim_variant</t>
  </si>
  <si>
    <t>Volkswagen</t>
  </si>
  <si>
    <t>Virtus</t>
  </si>
  <si>
    <t>Comfortline</t>
  </si>
  <si>
    <t>Highline</t>
  </si>
  <si>
    <t>GT Plus</t>
  </si>
  <si>
    <t>Taigun</t>
  </si>
  <si>
    <t>Tiguan</t>
  </si>
  <si>
    <t>Elegance</t>
  </si>
  <si>
    <t>R-Line</t>
  </si>
  <si>
    <t>Polo</t>
  </si>
  <si>
    <t>GT TSI</t>
  </si>
  <si>
    <t>Vento</t>
  </si>
  <si>
    <t>2 Series Gran Coupe</t>
  </si>
  <si>
    <t>220i</t>
  </si>
  <si>
    <t>330i M Sport</t>
  </si>
  <si>
    <t>530i M Sport</t>
  </si>
  <si>
    <t>X1</t>
  </si>
  <si>
    <t>sDrive18i</t>
  </si>
  <si>
    <t>X3</t>
  </si>
  <si>
    <t>xDrive30i</t>
  </si>
  <si>
    <t>X5</t>
  </si>
  <si>
    <t>xDrive40i</t>
  </si>
  <si>
    <t>Premium</t>
  </si>
  <si>
    <t>Premium Plus</t>
  </si>
  <si>
    <t>Q3</t>
  </si>
  <si>
    <t>Q5</t>
  </si>
  <si>
    <t>Technology</t>
  </si>
  <si>
    <t>Q7</t>
  </si>
  <si>
    <t>Skoda</t>
  </si>
  <si>
    <t>Slavia</t>
  </si>
  <si>
    <t>Style</t>
  </si>
  <si>
    <t>1.5 TSI</t>
  </si>
  <si>
    <t>Kushaq</t>
  </si>
  <si>
    <t>Superb</t>
  </si>
  <si>
    <t>L&amp;K</t>
  </si>
  <si>
    <t>Kodiaq</t>
  </si>
  <si>
    <t>no_FTA</t>
  </si>
  <si>
    <t>with_FTA</t>
  </si>
  <si>
    <t>product_code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</si>
</sst>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5">
    <xf numFmtId="0" fontId="0" fillId="0" borderId="0" xfId="0"/>
    <xf numFmtId="0" fontId="5" fillId="5" borderId="2" xfId="4" applyBorder="1" applyAlignment="1">
      <alignment horizontal="center"/>
    </xf>
    <xf numFmtId="0" fontId="2" fillId="2" borderId="2" xfId="1" applyBorder="1" applyAlignment="1">
      <alignment horizontal="center"/>
    </xf>
    <xf numFmtId="0" fontId="3" fillId="3" borderId="2" xfId="2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6" borderId="2" xfId="5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164" fontId="0" fillId="0" borderId="0" xfId="0" applyNumberFormat="1"/>
    <xf numFmtId="0" fontId="4" fillId="4" borderId="0" xfId="3"/>
    <xf numFmtId="0" fontId="6" fillId="6" borderId="2" xfId="5" applyFont="1" applyBorder="1" applyAlignment="1"/>
    <xf numFmtId="0" fontId="6" fillId="6" borderId="2" xfId="5" applyFont="1" applyBorder="1"/>
    <xf numFmtId="0" fontId="6" fillId="6" borderId="2" xfId="5" applyFont="1" applyBorder="1" applyAlignment="1">
      <alignment horizontal="center"/>
    </xf>
    <xf numFmtId="164" fontId="6" fillId="7" borderId="0" xfId="6" applyNumberFormat="1" applyFont="1" applyAlignment="1">
      <alignment horizontal="right"/>
    </xf>
  </cellXfs>
  <cellStyles count="7">
    <cellStyle name="40% - Accent1" xfId="5" builtinId="31"/>
    <cellStyle name="40% - Accent3" xfId="6" builtinId="39"/>
    <cellStyle name="Bad" xfId="2" builtinId="27"/>
    <cellStyle name="Check Cell" xfId="4" builtinId="23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25" zoomScaleNormal="100" workbookViewId="0">
      <selection activeCell="J1" sqref="J1:K1"/>
    </sheetView>
  </sheetViews>
  <sheetFormatPr defaultRowHeight="15" x14ac:dyDescent="0.25"/>
  <cols>
    <col min="1" max="1" width="22.85546875" customWidth="1"/>
    <col min="2" max="2" width="21.85546875" customWidth="1"/>
    <col min="3" max="3" width="21.42578125" customWidth="1"/>
    <col min="4" max="4" width="18.28515625" customWidth="1"/>
    <col min="5" max="5" width="17" customWidth="1"/>
    <col min="6" max="6" width="15.85546875" customWidth="1"/>
    <col min="7" max="7" width="18.28515625" customWidth="1"/>
    <col min="8" max="8" width="17.28515625" bestFit="1" customWidth="1"/>
    <col min="9" max="9" width="15.7109375" customWidth="1"/>
  </cols>
  <sheetData>
    <row r="1" spans="1:9" x14ac:dyDescent="0.25">
      <c r="A1" s="1" t="s">
        <v>41</v>
      </c>
      <c r="B1" s="2" t="s">
        <v>82</v>
      </c>
      <c r="C1" s="2" t="s">
        <v>32</v>
      </c>
      <c r="D1" s="3" t="s">
        <v>42</v>
      </c>
      <c r="E1" s="3" t="s">
        <v>43</v>
      </c>
      <c r="F1" s="3" t="s">
        <v>33</v>
      </c>
      <c r="G1" s="3" t="s">
        <v>0</v>
      </c>
      <c r="H1" s="3" t="s">
        <v>1</v>
      </c>
      <c r="I1" s="3" t="s">
        <v>2</v>
      </c>
    </row>
    <row r="2" spans="1:9" x14ac:dyDescent="0.25">
      <c r="A2" s="4">
        <v>1</v>
      </c>
      <c r="B2" s="4">
        <v>101</v>
      </c>
      <c r="C2" s="4" t="s">
        <v>3</v>
      </c>
      <c r="D2" s="4" t="s">
        <v>29</v>
      </c>
      <c r="E2" s="4" t="s">
        <v>34</v>
      </c>
      <c r="F2" s="4" t="s">
        <v>5</v>
      </c>
      <c r="G2" s="4">
        <v>1332</v>
      </c>
      <c r="H2" s="5">
        <v>4600000</v>
      </c>
      <c r="I2" s="5">
        <v>3800000</v>
      </c>
    </row>
    <row r="3" spans="1:9" x14ac:dyDescent="0.25">
      <c r="A3" s="4">
        <v>2</v>
      </c>
      <c r="B3" s="4">
        <v>102</v>
      </c>
      <c r="C3" s="4" t="s">
        <v>3</v>
      </c>
      <c r="D3" s="4" t="s">
        <v>29</v>
      </c>
      <c r="E3" s="4" t="s">
        <v>35</v>
      </c>
      <c r="F3" s="4" t="s">
        <v>7</v>
      </c>
      <c r="G3" s="4">
        <v>1950</v>
      </c>
      <c r="H3" s="5">
        <v>4800000</v>
      </c>
      <c r="I3" s="5">
        <v>4000000</v>
      </c>
    </row>
    <row r="4" spans="1:9" x14ac:dyDescent="0.25">
      <c r="A4" s="4">
        <v>3</v>
      </c>
      <c r="B4" s="4">
        <v>103</v>
      </c>
      <c r="C4" s="4" t="s">
        <v>3</v>
      </c>
      <c r="D4" s="4" t="s">
        <v>4</v>
      </c>
      <c r="E4" s="4" t="s">
        <v>36</v>
      </c>
      <c r="F4" s="4" t="s">
        <v>5</v>
      </c>
      <c r="G4" s="4">
        <v>1999</v>
      </c>
      <c r="H4" s="5">
        <v>5900000</v>
      </c>
      <c r="I4" s="5">
        <v>5000000</v>
      </c>
    </row>
    <row r="5" spans="1:9" x14ac:dyDescent="0.25">
      <c r="A5" s="4">
        <v>4</v>
      </c>
      <c r="B5" s="4">
        <v>104</v>
      </c>
      <c r="C5" s="4" t="s">
        <v>3</v>
      </c>
      <c r="D5" s="4" t="s">
        <v>4</v>
      </c>
      <c r="E5" s="4" t="s">
        <v>37</v>
      </c>
      <c r="F5" s="4" t="s">
        <v>7</v>
      </c>
      <c r="G5" s="4">
        <v>1993</v>
      </c>
      <c r="H5" s="5">
        <v>6400000</v>
      </c>
      <c r="I5" s="5">
        <v>5400000</v>
      </c>
    </row>
    <row r="6" spans="1:9" x14ac:dyDescent="0.25">
      <c r="A6" s="4">
        <v>5</v>
      </c>
      <c r="B6" s="4">
        <v>105</v>
      </c>
      <c r="C6" s="4" t="s">
        <v>3</v>
      </c>
      <c r="D6" s="4" t="s">
        <v>6</v>
      </c>
      <c r="E6" s="4" t="s">
        <v>38</v>
      </c>
      <c r="F6" s="4" t="s">
        <v>5</v>
      </c>
      <c r="G6" s="4">
        <v>1999</v>
      </c>
      <c r="H6" s="5">
        <v>7800000</v>
      </c>
      <c r="I6" s="5">
        <v>6500000</v>
      </c>
    </row>
    <row r="7" spans="1:9" x14ac:dyDescent="0.25">
      <c r="A7" s="4">
        <v>6</v>
      </c>
      <c r="B7" s="4">
        <v>106</v>
      </c>
      <c r="C7" s="4" t="s">
        <v>3</v>
      </c>
      <c r="D7" s="4" t="s">
        <v>6</v>
      </c>
      <c r="E7" s="4" t="s">
        <v>39</v>
      </c>
      <c r="F7" s="4" t="s">
        <v>7</v>
      </c>
      <c r="G7" s="4">
        <v>1950</v>
      </c>
      <c r="H7" s="5">
        <v>8200000</v>
      </c>
      <c r="I7" s="5">
        <v>6800000</v>
      </c>
    </row>
    <row r="8" spans="1:9" x14ac:dyDescent="0.25">
      <c r="A8" s="4">
        <v>7</v>
      </c>
      <c r="B8" s="4">
        <v>107</v>
      </c>
      <c r="C8" s="4" t="s">
        <v>3</v>
      </c>
      <c r="D8" s="4" t="s">
        <v>30</v>
      </c>
      <c r="E8" s="4">
        <v>220</v>
      </c>
      <c r="F8" s="4" t="s">
        <v>5</v>
      </c>
      <c r="G8" s="4">
        <v>1991</v>
      </c>
      <c r="H8" s="5">
        <v>5000000</v>
      </c>
      <c r="I8" s="5">
        <v>4200000</v>
      </c>
    </row>
    <row r="9" spans="1:9" x14ac:dyDescent="0.25">
      <c r="A9" s="4">
        <v>8</v>
      </c>
      <c r="B9" s="4">
        <v>108</v>
      </c>
      <c r="C9" s="4" t="s">
        <v>3</v>
      </c>
      <c r="D9" s="4" t="s">
        <v>30</v>
      </c>
      <c r="E9" s="4" t="s">
        <v>40</v>
      </c>
      <c r="F9" s="4" t="s">
        <v>7</v>
      </c>
      <c r="G9" s="4">
        <v>1950</v>
      </c>
      <c r="H9" s="5">
        <v>5300000</v>
      </c>
      <c r="I9" s="5">
        <v>4400000</v>
      </c>
    </row>
    <row r="10" spans="1:9" x14ac:dyDescent="0.25">
      <c r="A10" s="4">
        <v>9</v>
      </c>
      <c r="B10" s="4">
        <v>109</v>
      </c>
      <c r="C10" s="4" t="s">
        <v>3</v>
      </c>
      <c r="D10" s="4" t="s">
        <v>31</v>
      </c>
      <c r="E10" s="4">
        <v>300</v>
      </c>
      <c r="F10" s="4" t="s">
        <v>5</v>
      </c>
      <c r="G10" s="4">
        <v>1999</v>
      </c>
      <c r="H10" s="5">
        <v>7400000</v>
      </c>
      <c r="I10" s="5">
        <v>6200000</v>
      </c>
    </row>
    <row r="11" spans="1:9" x14ac:dyDescent="0.25">
      <c r="A11" s="4">
        <v>10</v>
      </c>
      <c r="B11" s="4">
        <v>110</v>
      </c>
      <c r="C11" s="4" t="s">
        <v>3</v>
      </c>
      <c r="D11" s="4" t="s">
        <v>31</v>
      </c>
      <c r="E11" s="4" t="s">
        <v>40</v>
      </c>
      <c r="F11" s="4" t="s">
        <v>7</v>
      </c>
      <c r="G11" s="4">
        <v>1993</v>
      </c>
      <c r="H11" s="4">
        <v>7700000</v>
      </c>
      <c r="I11" s="5">
        <v>6500000</v>
      </c>
    </row>
    <row r="12" spans="1:9" x14ac:dyDescent="0.25">
      <c r="A12" s="4">
        <v>11</v>
      </c>
      <c r="B12" s="4">
        <v>111</v>
      </c>
      <c r="C12" s="4" t="s">
        <v>44</v>
      </c>
      <c r="D12" s="4" t="s">
        <v>45</v>
      </c>
      <c r="E12" s="4" t="s">
        <v>46</v>
      </c>
      <c r="F12" s="4" t="s">
        <v>5</v>
      </c>
      <c r="G12" s="4">
        <v>999</v>
      </c>
      <c r="H12" s="4">
        <v>1150000</v>
      </c>
      <c r="I12" s="4">
        <v>900000</v>
      </c>
    </row>
    <row r="13" spans="1:9" x14ac:dyDescent="0.25">
      <c r="A13" s="4">
        <v>12</v>
      </c>
      <c r="B13" s="4">
        <v>112</v>
      </c>
      <c r="C13" s="4" t="s">
        <v>44</v>
      </c>
      <c r="D13" s="4" t="s">
        <v>45</v>
      </c>
      <c r="E13" s="4" t="s">
        <v>47</v>
      </c>
      <c r="F13" s="4" t="s">
        <v>5</v>
      </c>
      <c r="G13" s="4">
        <v>999</v>
      </c>
      <c r="H13" s="4">
        <v>1350000</v>
      </c>
      <c r="I13" s="4">
        <v>1050000</v>
      </c>
    </row>
    <row r="14" spans="1:9" x14ac:dyDescent="0.25">
      <c r="A14" s="4">
        <v>13</v>
      </c>
      <c r="B14" s="4">
        <v>113</v>
      </c>
      <c r="C14" s="4" t="s">
        <v>44</v>
      </c>
      <c r="D14" s="4" t="s">
        <v>45</v>
      </c>
      <c r="E14" s="4" t="s">
        <v>48</v>
      </c>
      <c r="F14" s="4" t="s">
        <v>5</v>
      </c>
      <c r="G14" s="4">
        <v>1498</v>
      </c>
      <c r="H14" s="4">
        <v>1900000</v>
      </c>
      <c r="I14" s="4">
        <v>1500000</v>
      </c>
    </row>
    <row r="15" spans="1:9" x14ac:dyDescent="0.25">
      <c r="A15" s="4">
        <v>14</v>
      </c>
      <c r="B15" s="4">
        <v>114</v>
      </c>
      <c r="C15" s="4" t="s">
        <v>44</v>
      </c>
      <c r="D15" s="4" t="s">
        <v>49</v>
      </c>
      <c r="E15" s="4" t="s">
        <v>46</v>
      </c>
      <c r="F15" s="4" t="s">
        <v>5</v>
      </c>
      <c r="G15" s="4">
        <v>999</v>
      </c>
      <c r="H15" s="4">
        <v>1200000</v>
      </c>
      <c r="I15" s="4">
        <v>950000</v>
      </c>
    </row>
    <row r="16" spans="1:9" x14ac:dyDescent="0.25">
      <c r="A16" s="4">
        <v>15</v>
      </c>
      <c r="B16" s="4">
        <v>115</v>
      </c>
      <c r="C16" s="4" t="s">
        <v>44</v>
      </c>
      <c r="D16" s="4" t="s">
        <v>49</v>
      </c>
      <c r="E16" s="4" t="s">
        <v>47</v>
      </c>
      <c r="F16" s="4" t="s">
        <v>5</v>
      </c>
      <c r="G16" s="4">
        <v>999</v>
      </c>
      <c r="H16" s="4">
        <v>1500000</v>
      </c>
      <c r="I16" s="4">
        <v>1200000</v>
      </c>
    </row>
    <row r="17" spans="1:9" x14ac:dyDescent="0.25">
      <c r="A17" s="4">
        <v>16</v>
      </c>
      <c r="B17" s="4">
        <v>116</v>
      </c>
      <c r="C17" s="4" t="s">
        <v>44</v>
      </c>
      <c r="D17" s="4" t="s">
        <v>49</v>
      </c>
      <c r="E17" s="4" t="s">
        <v>48</v>
      </c>
      <c r="F17" s="4" t="s">
        <v>5</v>
      </c>
      <c r="G17" s="4">
        <v>1498</v>
      </c>
      <c r="H17" s="4">
        <v>1950000</v>
      </c>
      <c r="I17" s="4">
        <v>1550000</v>
      </c>
    </row>
    <row r="18" spans="1:9" x14ac:dyDescent="0.25">
      <c r="A18" s="4">
        <v>17</v>
      </c>
      <c r="B18" s="4">
        <v>117</v>
      </c>
      <c r="C18" s="4" t="s">
        <v>44</v>
      </c>
      <c r="D18" s="4" t="s">
        <v>50</v>
      </c>
      <c r="E18" s="4" t="s">
        <v>51</v>
      </c>
      <c r="F18" s="4" t="s">
        <v>5</v>
      </c>
      <c r="G18" s="4">
        <v>1984</v>
      </c>
      <c r="H18" s="4">
        <v>3500000</v>
      </c>
      <c r="I18" s="4">
        <v>2800000</v>
      </c>
    </row>
    <row r="19" spans="1:9" x14ac:dyDescent="0.25">
      <c r="A19" s="4">
        <v>18</v>
      </c>
      <c r="B19" s="4">
        <v>118</v>
      </c>
      <c r="C19" s="4" t="s">
        <v>44</v>
      </c>
      <c r="D19" s="4" t="s">
        <v>50</v>
      </c>
      <c r="E19" s="4" t="s">
        <v>52</v>
      </c>
      <c r="F19" s="4" t="s">
        <v>5</v>
      </c>
      <c r="G19" s="4">
        <v>1984</v>
      </c>
      <c r="H19" s="4">
        <v>3800000</v>
      </c>
      <c r="I19" s="4">
        <v>3050000</v>
      </c>
    </row>
    <row r="20" spans="1:9" x14ac:dyDescent="0.25">
      <c r="A20" s="4">
        <v>19</v>
      </c>
      <c r="B20" s="4">
        <v>119</v>
      </c>
      <c r="C20" s="4" t="s">
        <v>44</v>
      </c>
      <c r="D20" s="4" t="s">
        <v>53</v>
      </c>
      <c r="E20" s="4" t="s">
        <v>54</v>
      </c>
      <c r="F20" s="4" t="s">
        <v>5</v>
      </c>
      <c r="G20" s="4">
        <v>999</v>
      </c>
      <c r="H20" s="4">
        <v>1000000</v>
      </c>
      <c r="I20" s="4">
        <v>780000</v>
      </c>
    </row>
    <row r="21" spans="1:9" x14ac:dyDescent="0.25">
      <c r="A21" s="4">
        <v>20</v>
      </c>
      <c r="B21" s="4">
        <v>120</v>
      </c>
      <c r="C21" s="4" t="s">
        <v>44</v>
      </c>
      <c r="D21" s="4" t="s">
        <v>55</v>
      </c>
      <c r="E21" s="4" t="s">
        <v>47</v>
      </c>
      <c r="F21" s="4" t="s">
        <v>5</v>
      </c>
      <c r="G21" s="4">
        <v>1598</v>
      </c>
      <c r="H21" s="4">
        <v>1200000</v>
      </c>
      <c r="I21" s="4">
        <v>950000</v>
      </c>
    </row>
    <row r="22" spans="1:9" x14ac:dyDescent="0.25">
      <c r="A22" s="4">
        <v>21</v>
      </c>
      <c r="B22" s="4">
        <v>121</v>
      </c>
      <c r="C22" s="4" t="s">
        <v>8</v>
      </c>
      <c r="D22" s="4" t="s">
        <v>56</v>
      </c>
      <c r="E22" s="4" t="s">
        <v>57</v>
      </c>
      <c r="F22" s="4" t="s">
        <v>5</v>
      </c>
      <c r="G22" s="4">
        <v>1998</v>
      </c>
      <c r="H22" s="4">
        <v>4500000</v>
      </c>
      <c r="I22" s="4">
        <v>3600000</v>
      </c>
    </row>
    <row r="23" spans="1:9" x14ac:dyDescent="0.25">
      <c r="A23" s="4">
        <v>22</v>
      </c>
      <c r="B23" s="4">
        <v>122</v>
      </c>
      <c r="C23" s="4" t="s">
        <v>8</v>
      </c>
      <c r="D23" s="4" t="s">
        <v>9</v>
      </c>
      <c r="E23" s="4" t="s">
        <v>58</v>
      </c>
      <c r="F23" s="4" t="s">
        <v>5</v>
      </c>
      <c r="G23" s="4">
        <v>1998</v>
      </c>
      <c r="H23" s="4">
        <v>7200000</v>
      </c>
      <c r="I23" s="4">
        <v>5800000</v>
      </c>
    </row>
    <row r="24" spans="1:9" x14ac:dyDescent="0.25">
      <c r="A24" s="4">
        <v>23</v>
      </c>
      <c r="B24" s="4">
        <v>123</v>
      </c>
      <c r="C24" s="4" t="s">
        <v>8</v>
      </c>
      <c r="D24" s="4" t="s">
        <v>10</v>
      </c>
      <c r="E24" s="4" t="s">
        <v>59</v>
      </c>
      <c r="F24" s="4" t="s">
        <v>5</v>
      </c>
      <c r="G24" s="4">
        <v>1998</v>
      </c>
      <c r="H24" s="4">
        <v>8200000</v>
      </c>
      <c r="I24" s="4">
        <v>6600000</v>
      </c>
    </row>
    <row r="25" spans="1:9" x14ac:dyDescent="0.25">
      <c r="A25" s="4">
        <v>24</v>
      </c>
      <c r="B25" s="4">
        <v>124</v>
      </c>
      <c r="C25" s="4" t="s">
        <v>8</v>
      </c>
      <c r="D25" s="4" t="s">
        <v>60</v>
      </c>
      <c r="E25" s="4" t="s">
        <v>61</v>
      </c>
      <c r="F25" s="4" t="s">
        <v>5</v>
      </c>
      <c r="G25" s="4">
        <v>1499</v>
      </c>
      <c r="H25" s="4">
        <v>5000000</v>
      </c>
      <c r="I25" s="4">
        <v>4000000</v>
      </c>
    </row>
    <row r="26" spans="1:9" x14ac:dyDescent="0.25">
      <c r="A26" s="4">
        <v>25</v>
      </c>
      <c r="B26" s="4">
        <v>125</v>
      </c>
      <c r="C26" s="4" t="s">
        <v>8</v>
      </c>
      <c r="D26" s="4" t="s">
        <v>62</v>
      </c>
      <c r="E26" s="4" t="s">
        <v>63</v>
      </c>
      <c r="F26" s="4" t="s">
        <v>5</v>
      </c>
      <c r="G26" s="4">
        <v>1998</v>
      </c>
      <c r="H26" s="4">
        <v>8600000</v>
      </c>
      <c r="I26" s="4">
        <v>6900000</v>
      </c>
    </row>
    <row r="27" spans="1:9" x14ac:dyDescent="0.25">
      <c r="A27" s="4">
        <v>26</v>
      </c>
      <c r="B27" s="4">
        <v>126</v>
      </c>
      <c r="C27" s="4" t="s">
        <v>8</v>
      </c>
      <c r="D27" s="4" t="s">
        <v>64</v>
      </c>
      <c r="E27" s="4" t="s">
        <v>65</v>
      </c>
      <c r="F27" s="4" t="s">
        <v>5</v>
      </c>
      <c r="G27" s="4">
        <v>2998</v>
      </c>
      <c r="H27" s="4">
        <v>9800000</v>
      </c>
      <c r="I27" s="4">
        <v>7800000</v>
      </c>
    </row>
    <row r="28" spans="1:9" x14ac:dyDescent="0.25">
      <c r="A28" s="4">
        <v>27</v>
      </c>
      <c r="B28" s="4">
        <v>127</v>
      </c>
      <c r="C28" s="4" t="s">
        <v>11</v>
      </c>
      <c r="D28" s="4" t="s">
        <v>12</v>
      </c>
      <c r="E28" s="4" t="s">
        <v>66</v>
      </c>
      <c r="F28" s="4" t="s">
        <v>5</v>
      </c>
      <c r="G28" s="4">
        <v>1984</v>
      </c>
      <c r="H28" s="4">
        <v>5600000</v>
      </c>
      <c r="I28" s="4">
        <v>4500000</v>
      </c>
    </row>
    <row r="29" spans="1:9" x14ac:dyDescent="0.25">
      <c r="A29" s="4">
        <v>28</v>
      </c>
      <c r="B29" s="4">
        <v>128</v>
      </c>
      <c r="C29" s="4" t="s">
        <v>11</v>
      </c>
      <c r="D29" s="4" t="s">
        <v>13</v>
      </c>
      <c r="E29" s="4" t="s">
        <v>67</v>
      </c>
      <c r="F29" s="4" t="s">
        <v>5</v>
      </c>
      <c r="G29" s="4">
        <v>1984</v>
      </c>
      <c r="H29" s="4">
        <v>7200000</v>
      </c>
      <c r="I29" s="4">
        <v>5800000</v>
      </c>
    </row>
    <row r="30" spans="1:9" x14ac:dyDescent="0.25">
      <c r="A30" s="4">
        <v>29</v>
      </c>
      <c r="B30" s="4">
        <v>129</v>
      </c>
      <c r="C30" s="4" t="s">
        <v>11</v>
      </c>
      <c r="D30" s="4" t="s">
        <v>68</v>
      </c>
      <c r="E30" s="4" t="s">
        <v>67</v>
      </c>
      <c r="F30" s="4" t="s">
        <v>5</v>
      </c>
      <c r="G30" s="4">
        <v>1984</v>
      </c>
      <c r="H30" s="4">
        <v>5500000</v>
      </c>
      <c r="I30" s="4">
        <v>4400000</v>
      </c>
    </row>
    <row r="31" spans="1:9" x14ac:dyDescent="0.25">
      <c r="A31" s="4">
        <v>30</v>
      </c>
      <c r="B31" s="4">
        <v>130</v>
      </c>
      <c r="C31" s="4" t="s">
        <v>11</v>
      </c>
      <c r="D31" s="4" t="s">
        <v>69</v>
      </c>
      <c r="E31" s="4" t="s">
        <v>70</v>
      </c>
      <c r="F31" s="4" t="s">
        <v>5</v>
      </c>
      <c r="G31" s="4">
        <v>1984</v>
      </c>
      <c r="H31" s="4">
        <v>6500000</v>
      </c>
      <c r="I31" s="4">
        <v>5200000</v>
      </c>
    </row>
    <row r="32" spans="1:9" x14ac:dyDescent="0.25">
      <c r="A32" s="4">
        <v>31</v>
      </c>
      <c r="B32" s="4">
        <v>131</v>
      </c>
      <c r="C32" s="4" t="s">
        <v>11</v>
      </c>
      <c r="D32" s="4" t="s">
        <v>71</v>
      </c>
      <c r="E32" s="4" t="s">
        <v>70</v>
      </c>
      <c r="F32" s="4" t="s">
        <v>5</v>
      </c>
      <c r="G32" s="4">
        <v>2995</v>
      </c>
      <c r="H32" s="4">
        <v>8800000</v>
      </c>
      <c r="I32" s="4">
        <v>7000000</v>
      </c>
    </row>
    <row r="33" spans="1:9" x14ac:dyDescent="0.25">
      <c r="A33" s="4">
        <v>32</v>
      </c>
      <c r="B33" s="4">
        <v>132</v>
      </c>
      <c r="C33" s="4" t="s">
        <v>72</v>
      </c>
      <c r="D33" s="4" t="s">
        <v>73</v>
      </c>
      <c r="E33" s="4" t="s">
        <v>74</v>
      </c>
      <c r="F33" s="4" t="s">
        <v>5</v>
      </c>
      <c r="G33" s="4">
        <v>999</v>
      </c>
      <c r="H33" s="4">
        <v>1300000</v>
      </c>
      <c r="I33" s="4">
        <v>1000000</v>
      </c>
    </row>
    <row r="34" spans="1:9" x14ac:dyDescent="0.25">
      <c r="A34" s="4">
        <v>33</v>
      </c>
      <c r="B34" s="4">
        <v>133</v>
      </c>
      <c r="C34" s="4" t="s">
        <v>72</v>
      </c>
      <c r="D34" s="4" t="s">
        <v>73</v>
      </c>
      <c r="E34" s="4" t="s">
        <v>75</v>
      </c>
      <c r="F34" s="4" t="s">
        <v>5</v>
      </c>
      <c r="G34" s="4">
        <v>1498</v>
      </c>
      <c r="H34" s="4">
        <v>1800000</v>
      </c>
      <c r="I34" s="4">
        <v>1400000</v>
      </c>
    </row>
    <row r="35" spans="1:9" x14ac:dyDescent="0.25">
      <c r="A35" s="4">
        <v>34</v>
      </c>
      <c r="B35" s="4">
        <v>134</v>
      </c>
      <c r="C35" s="4" t="s">
        <v>72</v>
      </c>
      <c r="D35" s="4" t="s">
        <v>76</v>
      </c>
      <c r="E35" s="4" t="s">
        <v>74</v>
      </c>
      <c r="F35" s="4" t="s">
        <v>5</v>
      </c>
      <c r="G35" s="4">
        <v>999</v>
      </c>
      <c r="H35" s="4">
        <v>1400000</v>
      </c>
      <c r="I35" s="4">
        <v>1100000</v>
      </c>
    </row>
    <row r="36" spans="1:9" x14ac:dyDescent="0.25">
      <c r="A36" s="4">
        <v>35</v>
      </c>
      <c r="B36" s="4">
        <v>135</v>
      </c>
      <c r="C36" s="4" t="s">
        <v>72</v>
      </c>
      <c r="D36" s="4" t="s">
        <v>76</v>
      </c>
      <c r="E36" s="4" t="s">
        <v>75</v>
      </c>
      <c r="F36" s="4" t="s">
        <v>5</v>
      </c>
      <c r="G36" s="4">
        <v>1498</v>
      </c>
      <c r="H36" s="4">
        <v>1900000</v>
      </c>
      <c r="I36" s="4">
        <v>1500000</v>
      </c>
    </row>
    <row r="37" spans="1:9" x14ac:dyDescent="0.25">
      <c r="A37" s="4">
        <v>36</v>
      </c>
      <c r="B37" s="4">
        <v>136</v>
      </c>
      <c r="C37" s="4" t="s">
        <v>72</v>
      </c>
      <c r="D37" s="4" t="s">
        <v>77</v>
      </c>
      <c r="E37" s="4" t="s">
        <v>78</v>
      </c>
      <c r="F37" s="4" t="s">
        <v>5</v>
      </c>
      <c r="G37" s="4">
        <v>1984</v>
      </c>
      <c r="H37" s="4">
        <v>5400000</v>
      </c>
      <c r="I37" s="4">
        <v>4300000</v>
      </c>
    </row>
    <row r="38" spans="1:9" x14ac:dyDescent="0.25">
      <c r="A38" s="4">
        <v>37</v>
      </c>
      <c r="B38" s="4">
        <v>137</v>
      </c>
      <c r="C38" s="4" t="s">
        <v>72</v>
      </c>
      <c r="D38" s="4" t="s">
        <v>79</v>
      </c>
      <c r="E38" s="4" t="s">
        <v>78</v>
      </c>
      <c r="F38" s="4" t="s">
        <v>5</v>
      </c>
      <c r="G38" s="4">
        <v>1984</v>
      </c>
      <c r="H38" s="4">
        <v>3800000</v>
      </c>
      <c r="I38" s="4">
        <v>3000000</v>
      </c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D15" sqref="D15"/>
    </sheetView>
  </sheetViews>
  <sheetFormatPr defaultRowHeight="15" x14ac:dyDescent="0.25"/>
  <cols>
    <col min="1" max="1" width="15" customWidth="1"/>
    <col min="2" max="2" width="14.5703125" customWidth="1"/>
    <col min="3" max="3" width="13.42578125" customWidth="1"/>
    <col min="4" max="4" width="15.28515625" customWidth="1"/>
    <col min="18" max="18" width="10.28515625" customWidth="1"/>
  </cols>
  <sheetData>
    <row r="1" spans="1:5" x14ac:dyDescent="0.25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</row>
    <row r="2" spans="1:5" x14ac:dyDescent="0.25">
      <c r="A2" s="7" t="s">
        <v>19</v>
      </c>
      <c r="B2" s="7">
        <v>0.7</v>
      </c>
      <c r="C2" s="7">
        <v>0.1</v>
      </c>
      <c r="D2" s="7">
        <v>0.28000000000000003</v>
      </c>
      <c r="E2" s="7">
        <v>0.22</v>
      </c>
    </row>
    <row r="3" spans="1:5" x14ac:dyDescent="0.25">
      <c r="A3" s="7" t="s">
        <v>20</v>
      </c>
      <c r="B3" s="7">
        <v>0.1</v>
      </c>
      <c r="C3" s="7">
        <v>0.1</v>
      </c>
      <c r="D3" s="7">
        <v>0.28000000000000003</v>
      </c>
      <c r="E3" s="7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6"/>
  <sheetViews>
    <sheetView topLeftCell="G1" zoomScale="84" zoomScaleNormal="84" workbookViewId="0">
      <selection activeCell="P1" sqref="P1"/>
    </sheetView>
  </sheetViews>
  <sheetFormatPr defaultRowHeight="15" x14ac:dyDescent="0.25"/>
  <cols>
    <col min="1" max="1" width="10.42578125" customWidth="1"/>
    <col min="2" max="2" width="14.85546875" bestFit="1" customWidth="1"/>
    <col min="3" max="3" width="18.85546875" bestFit="1" customWidth="1"/>
    <col min="4" max="4" width="13.42578125" bestFit="1" customWidth="1"/>
    <col min="5" max="5" width="15.140625" customWidth="1"/>
    <col min="6" max="6" width="23.5703125" customWidth="1"/>
    <col min="7" max="7" width="29.5703125" customWidth="1"/>
    <col min="8" max="8" width="23.140625" customWidth="1"/>
    <col min="9" max="9" width="35.28515625" customWidth="1"/>
    <col min="10" max="10" width="23.7109375" customWidth="1"/>
    <col min="11" max="11" width="25.5703125" customWidth="1"/>
    <col min="12" max="12" width="26.85546875" customWidth="1"/>
    <col min="13" max="13" width="26" customWidth="1"/>
    <col min="14" max="14" width="18.5703125" customWidth="1"/>
    <col min="15" max="15" width="28.140625" customWidth="1"/>
  </cols>
  <sheetData>
    <row r="1" spans="1:15" x14ac:dyDescent="0.25">
      <c r="A1" s="11" t="s">
        <v>41</v>
      </c>
      <c r="B1" s="12" t="s">
        <v>82</v>
      </c>
      <c r="C1" s="11" t="s">
        <v>32</v>
      </c>
      <c r="D1" s="11" t="s">
        <v>42</v>
      </c>
      <c r="E1" s="11" t="s">
        <v>43</v>
      </c>
      <c r="F1" s="11" t="s">
        <v>14</v>
      </c>
      <c r="G1" s="11" t="s">
        <v>2</v>
      </c>
      <c r="H1" s="11" t="s">
        <v>21</v>
      </c>
      <c r="I1" s="11" t="s">
        <v>22</v>
      </c>
      <c r="J1" s="11" t="s">
        <v>23</v>
      </c>
      <c r="K1" s="11" t="s">
        <v>24</v>
      </c>
      <c r="L1" s="11" t="s">
        <v>25</v>
      </c>
      <c r="M1" s="11" t="s">
        <v>26</v>
      </c>
      <c r="N1" s="11" t="s">
        <v>27</v>
      </c>
      <c r="O1" s="13" t="s">
        <v>28</v>
      </c>
    </row>
    <row r="2" spans="1:15" x14ac:dyDescent="0.25">
      <c r="A2" s="7">
        <v>1</v>
      </c>
      <c r="B2" s="4">
        <v>101</v>
      </c>
      <c r="C2" s="7" t="s">
        <v>3</v>
      </c>
      <c r="D2" s="7" t="s">
        <v>29</v>
      </c>
      <c r="E2" s="4" t="s">
        <v>34</v>
      </c>
      <c r="F2" s="7" t="s">
        <v>81</v>
      </c>
      <c r="G2" s="8">
        <f>_xlfn.XLOOKUP($B2,car_master!$B2:$B38,car_master!$I2:$I38)</f>
        <v>3800000</v>
      </c>
      <c r="H2" s="8">
        <f xml:space="preserve"> _xlfn.XLOOKUP(B2,car_master!$B2:$B38,car_master!$I2:$I38) * tax_parameters!$B$3</f>
        <v>380000</v>
      </c>
      <c r="I2" s="8" cm="1">
        <f t="array" ref="I2">_xlfn.XLOOKUP($B2,$B1:$B38,$H1:$H38 * tax_parameters!$C$3)</f>
        <v>38000</v>
      </c>
      <c r="J2" s="8">
        <f xml:space="preserve"> G2 + H2 + I2</f>
        <v>4218000</v>
      </c>
      <c r="K2" s="8" cm="1">
        <f t="array" ref="K2">_xlfn.XLOOKUP($B2, $B2:$B38, $J2:$J38 * 0.28)</f>
        <v>1181040</v>
      </c>
      <c r="L2" s="8" cm="1">
        <f t="array" ref="L2">_xlfn.XLOOKUP($B2, $B2:$B38, $J2:$J38 * 0.22)</f>
        <v>927960</v>
      </c>
      <c r="M2" s="8">
        <f xml:space="preserve"> H2 + I2 + K2+ L2</f>
        <v>2527000</v>
      </c>
      <c r="N2" s="8">
        <f xml:space="preserve"> G2 + M2</f>
        <v>6327000</v>
      </c>
      <c r="O2" s="14">
        <f>IF(
  F2="With_FTA",
  M2 - SUMIFS($M:$M,$A:$A,$A2,$F:$F,"No_FTA"),
  ""
)</f>
        <v>2527000</v>
      </c>
    </row>
    <row r="3" spans="1:15" x14ac:dyDescent="0.25">
      <c r="A3" s="7">
        <v>2</v>
      </c>
      <c r="B3" s="4">
        <v>102</v>
      </c>
      <c r="C3" s="7" t="s">
        <v>3</v>
      </c>
      <c r="D3" s="7" t="s">
        <v>29</v>
      </c>
      <c r="E3" s="4" t="s">
        <v>35</v>
      </c>
      <c r="F3" s="7" t="s">
        <v>81</v>
      </c>
      <c r="G3" s="8">
        <f>_xlfn.XLOOKUP($B3,car_master!$B3:$B39,car_master!$I3:$I39)</f>
        <v>4000000</v>
      </c>
      <c r="H3" s="8">
        <f xml:space="preserve"> _xlfn.XLOOKUP(B3,car_master!$B3:$B39,car_master!$I3:$I39) * tax_parameters!$B$3</f>
        <v>400000</v>
      </c>
      <c r="I3" s="8" cm="1">
        <f t="array" ref="I3">_xlfn.XLOOKUP($B3,$B2:$B40,$H2:$H40 * tax_parameters!$C$3)</f>
        <v>40000</v>
      </c>
      <c r="J3" s="8">
        <f t="shared" ref="J3:J38" si="0" xml:space="preserve"> G3 + H3 + I3</f>
        <v>4440000</v>
      </c>
      <c r="K3" s="8" cm="1">
        <f t="array" ref="K3">_xlfn.XLOOKUP($B3, $B3:$B40, $J3:$J40 * 0.28)</f>
        <v>1243200.0000000002</v>
      </c>
      <c r="L3" s="8" cm="1">
        <f t="array" ref="L3">_xlfn.XLOOKUP($B3, $B3:$B39, $J3:$J39 * 0.22)</f>
        <v>976800</v>
      </c>
      <c r="M3" s="8">
        <f t="shared" ref="M3:M38" si="1" xml:space="preserve"> H3 + I3 + K3+ L3</f>
        <v>2660000</v>
      </c>
      <c r="N3" s="8">
        <f t="shared" ref="N3:N38" si="2" xml:space="preserve"> G3 + M3</f>
        <v>6660000</v>
      </c>
      <c r="O3" s="14">
        <f t="shared" ref="O3:O38" si="3">IF(
  F3="With_FTA",
  M3 - SUMIFS($M:$M,$A:$A,$A3,$F:$F,"No_FTA"),
  ""
)</f>
        <v>2660000</v>
      </c>
    </row>
    <row r="4" spans="1:15" x14ac:dyDescent="0.25">
      <c r="A4" s="7">
        <v>3</v>
      </c>
      <c r="B4" s="4">
        <v>103</v>
      </c>
      <c r="C4" s="7" t="s">
        <v>3</v>
      </c>
      <c r="D4" s="7" t="s">
        <v>4</v>
      </c>
      <c r="E4" s="4" t="s">
        <v>36</v>
      </c>
      <c r="F4" s="7" t="s">
        <v>81</v>
      </c>
      <c r="G4" s="8">
        <f>_xlfn.XLOOKUP($B4,car_master!$B4:$B40,car_master!$I4:$I40)</f>
        <v>5000000</v>
      </c>
      <c r="H4" s="8">
        <f xml:space="preserve"> _xlfn.XLOOKUP(B4,car_master!$B4:$B40,car_master!$I4:$I40) * tax_parameters!$B$3</f>
        <v>500000</v>
      </c>
      <c r="I4" s="8" cm="1">
        <f t="array" ref="I4">_xlfn.XLOOKUP($B4,$B3:$B41,$H3:$H41 * tax_parameters!$C$3)</f>
        <v>50000</v>
      </c>
      <c r="J4" s="8">
        <f t="shared" si="0"/>
        <v>5550000</v>
      </c>
      <c r="K4" s="8" cm="1">
        <f t="array" ref="K4">_xlfn.XLOOKUP($B4, $B4:$B41, $J4:$J41 * 0.28)</f>
        <v>1554000.0000000002</v>
      </c>
      <c r="L4" s="8" cm="1">
        <f t="array" ref="L4">_xlfn.XLOOKUP($B4, $B4:$B40, $J4:$J40 * 0.22)</f>
        <v>1221000</v>
      </c>
      <c r="M4" s="8">
        <f t="shared" si="1"/>
        <v>3325000</v>
      </c>
      <c r="N4" s="8">
        <f t="shared" si="2"/>
        <v>8325000</v>
      </c>
      <c r="O4" s="14">
        <f t="shared" si="3"/>
        <v>3325000</v>
      </c>
    </row>
    <row r="5" spans="1:15" x14ac:dyDescent="0.25">
      <c r="A5" s="7">
        <v>4</v>
      </c>
      <c r="B5" s="4">
        <v>104</v>
      </c>
      <c r="C5" s="7" t="s">
        <v>3</v>
      </c>
      <c r="D5" s="7" t="s">
        <v>4</v>
      </c>
      <c r="E5" s="4" t="s">
        <v>37</v>
      </c>
      <c r="F5" s="7" t="s">
        <v>81</v>
      </c>
      <c r="G5" s="8">
        <f>_xlfn.XLOOKUP($B5,car_master!$B5:$B41,car_master!$I5:$I41)</f>
        <v>5400000</v>
      </c>
      <c r="H5" s="8">
        <f xml:space="preserve"> _xlfn.XLOOKUP(B5,car_master!$B5:$B41,car_master!$I5:$I41) * tax_parameters!$B$3</f>
        <v>540000</v>
      </c>
      <c r="I5" s="8" cm="1">
        <f t="array" ref="I5">_xlfn.XLOOKUP($B5,$B4:$B42,$H4:$H42 * tax_parameters!$C$3)</f>
        <v>54000</v>
      </c>
      <c r="J5" s="8">
        <f t="shared" si="0"/>
        <v>5994000</v>
      </c>
      <c r="K5" s="8" cm="1">
        <f t="array" ref="K5">_xlfn.XLOOKUP($B5, $B5:$B42, $J5:$J42 * 0.28)</f>
        <v>1678320.0000000002</v>
      </c>
      <c r="L5" s="8" cm="1">
        <f t="array" ref="L5">_xlfn.XLOOKUP($B5, $B5:$B41, $J5:$J41 * 0.22)</f>
        <v>1318680</v>
      </c>
      <c r="M5" s="8">
        <f t="shared" si="1"/>
        <v>3591000</v>
      </c>
      <c r="N5" s="8">
        <f t="shared" si="2"/>
        <v>8991000</v>
      </c>
      <c r="O5" s="14">
        <f t="shared" si="3"/>
        <v>3591000</v>
      </c>
    </row>
    <row r="6" spans="1:15" x14ac:dyDescent="0.25">
      <c r="A6" s="7">
        <v>5</v>
      </c>
      <c r="B6" s="4">
        <v>105</v>
      </c>
      <c r="C6" s="7" t="s">
        <v>3</v>
      </c>
      <c r="D6" s="7" t="s">
        <v>6</v>
      </c>
      <c r="E6" s="4" t="s">
        <v>38</v>
      </c>
      <c r="F6" s="7" t="s">
        <v>81</v>
      </c>
      <c r="G6" s="8">
        <f>_xlfn.XLOOKUP($B6,car_master!$B6:$B42,car_master!$I6:$I42)</f>
        <v>6500000</v>
      </c>
      <c r="H6" s="8">
        <f xml:space="preserve"> _xlfn.XLOOKUP(B6,car_master!$B6:$B42,car_master!$I6:$I42) * tax_parameters!$B$3</f>
        <v>650000</v>
      </c>
      <c r="I6" s="8" cm="1">
        <f t="array" ref="I6">_xlfn.XLOOKUP($B6,$B5:$B43,$H5:$H43 * tax_parameters!$C$3)</f>
        <v>65000</v>
      </c>
      <c r="J6" s="8">
        <f t="shared" si="0"/>
        <v>7215000</v>
      </c>
      <c r="K6" s="8" cm="1">
        <f t="array" ref="K6">_xlfn.XLOOKUP($B6, $B6:$B43, $J6:$J43 * 0.28)</f>
        <v>2020200.0000000002</v>
      </c>
      <c r="L6" s="8" cm="1">
        <f t="array" ref="L6">_xlfn.XLOOKUP($B6, $B6:$B42, $J6:$J42 * 0.22)</f>
        <v>1587300</v>
      </c>
      <c r="M6" s="8">
        <f t="shared" si="1"/>
        <v>4322500</v>
      </c>
      <c r="N6" s="8">
        <f t="shared" si="2"/>
        <v>10822500</v>
      </c>
      <c r="O6" s="14">
        <f t="shared" si="3"/>
        <v>4322500</v>
      </c>
    </row>
    <row r="7" spans="1:15" x14ac:dyDescent="0.25">
      <c r="A7" s="7">
        <v>6</v>
      </c>
      <c r="B7" s="4">
        <v>106</v>
      </c>
      <c r="C7" s="7" t="s">
        <v>3</v>
      </c>
      <c r="D7" s="7" t="s">
        <v>6</v>
      </c>
      <c r="E7" s="4" t="s">
        <v>39</v>
      </c>
      <c r="F7" s="7" t="s">
        <v>81</v>
      </c>
      <c r="G7" s="8">
        <f>_xlfn.XLOOKUP($B7,car_master!$B7:$B43,car_master!$I7:$I43)</f>
        <v>6800000</v>
      </c>
      <c r="H7" s="8">
        <f xml:space="preserve"> _xlfn.XLOOKUP(B7,car_master!$B7:$B43,car_master!$I7:$I43) * tax_parameters!$B$3</f>
        <v>680000</v>
      </c>
      <c r="I7" s="8" cm="1">
        <f t="array" ref="I7">_xlfn.XLOOKUP($B7,$B6:$B44,$H6:$H44 * tax_parameters!$C$3)</f>
        <v>68000</v>
      </c>
      <c r="J7" s="8">
        <f t="shared" si="0"/>
        <v>7548000</v>
      </c>
      <c r="K7" s="8" cm="1">
        <f t="array" ref="K7">_xlfn.XLOOKUP($B7, $B7:$B44, $J7:$J44 * 0.28)</f>
        <v>2113440</v>
      </c>
      <c r="L7" s="8" cm="1">
        <f t="array" ref="L7">_xlfn.XLOOKUP($B7, $B7:$B43, $J7:$J43 * 0.22)</f>
        <v>1660560</v>
      </c>
      <c r="M7" s="8">
        <f t="shared" si="1"/>
        <v>4522000</v>
      </c>
      <c r="N7" s="8">
        <f t="shared" si="2"/>
        <v>11322000</v>
      </c>
      <c r="O7" s="14">
        <f t="shared" si="3"/>
        <v>4522000</v>
      </c>
    </row>
    <row r="8" spans="1:15" x14ac:dyDescent="0.25">
      <c r="A8" s="7">
        <v>7</v>
      </c>
      <c r="B8" s="4">
        <v>107</v>
      </c>
      <c r="C8" s="7" t="s">
        <v>3</v>
      </c>
      <c r="D8" s="7" t="s">
        <v>30</v>
      </c>
      <c r="E8" s="4">
        <v>220</v>
      </c>
      <c r="F8" s="7" t="s">
        <v>81</v>
      </c>
      <c r="G8" s="8">
        <f>_xlfn.XLOOKUP($B8,car_master!$B8:$B44,car_master!$I8:$I44)</f>
        <v>4200000</v>
      </c>
      <c r="H8" s="8">
        <f xml:space="preserve"> _xlfn.XLOOKUP(B8,car_master!$B8:$B44,car_master!$I8:$I44) * tax_parameters!$B$3</f>
        <v>420000</v>
      </c>
      <c r="I8" s="8" cm="1">
        <f t="array" ref="I8">_xlfn.XLOOKUP($B8,$B7:$B45,$H7:$H45 * tax_parameters!$C$3)</f>
        <v>42000</v>
      </c>
      <c r="J8" s="8">
        <f t="shared" si="0"/>
        <v>4662000</v>
      </c>
      <c r="K8" s="8" cm="1">
        <f t="array" ref="K8">_xlfn.XLOOKUP($B8, $B8:$B45, $J8:$J45 * 0.28)</f>
        <v>1305360.0000000002</v>
      </c>
      <c r="L8" s="8" cm="1">
        <f t="array" ref="L8">_xlfn.XLOOKUP($B8, $B8:$B44, $J8:$J44 * 0.22)</f>
        <v>1025640</v>
      </c>
      <c r="M8" s="8">
        <f t="shared" si="1"/>
        <v>2793000</v>
      </c>
      <c r="N8" s="8">
        <f t="shared" si="2"/>
        <v>6993000</v>
      </c>
      <c r="O8" s="14">
        <f t="shared" si="3"/>
        <v>2793000</v>
      </c>
    </row>
    <row r="9" spans="1:15" x14ac:dyDescent="0.25">
      <c r="A9" s="7">
        <v>8</v>
      </c>
      <c r="B9" s="4">
        <v>108</v>
      </c>
      <c r="C9" s="7" t="s">
        <v>3</v>
      </c>
      <c r="D9" s="7" t="s">
        <v>30</v>
      </c>
      <c r="E9" s="4" t="s">
        <v>40</v>
      </c>
      <c r="F9" s="7" t="s">
        <v>81</v>
      </c>
      <c r="G9" s="8">
        <f>_xlfn.XLOOKUP($B9,car_master!$B9:$B45,car_master!$I9:$I45)</f>
        <v>4400000</v>
      </c>
      <c r="H9" s="8">
        <f xml:space="preserve"> _xlfn.XLOOKUP(B9,car_master!$B9:$B45,car_master!$I9:$I45) * tax_parameters!$B$3</f>
        <v>440000</v>
      </c>
      <c r="I9" s="8" cm="1">
        <f t="array" ref="I9">_xlfn.XLOOKUP($B9,$B8:$B46,$H8:$H46 * tax_parameters!$C$3)</f>
        <v>44000</v>
      </c>
      <c r="J9" s="8">
        <f t="shared" si="0"/>
        <v>4884000</v>
      </c>
      <c r="K9" s="8" cm="1">
        <f t="array" ref="K9">_xlfn.XLOOKUP($B9, $B9:$B46, $J9:$J46 * 0.28)</f>
        <v>1367520.0000000002</v>
      </c>
      <c r="L9" s="8" cm="1">
        <f t="array" ref="L9">_xlfn.XLOOKUP($B9, $B9:$B45, $J9:$J45 * 0.22)</f>
        <v>1074480</v>
      </c>
      <c r="M9" s="8">
        <f t="shared" si="1"/>
        <v>2926000</v>
      </c>
      <c r="N9" s="8">
        <f t="shared" si="2"/>
        <v>7326000</v>
      </c>
      <c r="O9" s="14">
        <f t="shared" si="3"/>
        <v>2926000</v>
      </c>
    </row>
    <row r="10" spans="1:15" x14ac:dyDescent="0.25">
      <c r="A10" s="7">
        <v>9</v>
      </c>
      <c r="B10" s="4">
        <v>109</v>
      </c>
      <c r="C10" s="7" t="s">
        <v>3</v>
      </c>
      <c r="D10" s="7" t="s">
        <v>31</v>
      </c>
      <c r="E10" s="4">
        <v>300</v>
      </c>
      <c r="F10" s="7" t="s">
        <v>81</v>
      </c>
      <c r="G10" s="8">
        <f>_xlfn.XLOOKUP($B10,car_master!$B10:$B46,car_master!$I10:$I46)</f>
        <v>6200000</v>
      </c>
      <c r="H10" s="8">
        <f xml:space="preserve"> _xlfn.XLOOKUP(B10,car_master!$B10:$B46,car_master!$I10:$I46) * tax_parameters!$B$3</f>
        <v>620000</v>
      </c>
      <c r="I10" s="8" cm="1">
        <f t="array" ref="I10">_xlfn.XLOOKUP($B10,$B9:$B47,$H9:$H47 * tax_parameters!$C$3)</f>
        <v>62000</v>
      </c>
      <c r="J10" s="8">
        <f t="shared" si="0"/>
        <v>6882000</v>
      </c>
      <c r="K10" s="8" cm="1">
        <f t="array" ref="K10">_xlfn.XLOOKUP($B10, $B10:$B47, $J10:$J47 * 0.28)</f>
        <v>1926960.0000000002</v>
      </c>
      <c r="L10" s="8" cm="1">
        <f t="array" ref="L10">_xlfn.XLOOKUP($B10, $B10:$B46, $J10:$J46 * 0.22)</f>
        <v>1514040</v>
      </c>
      <c r="M10" s="8">
        <f t="shared" si="1"/>
        <v>4123000</v>
      </c>
      <c r="N10" s="8">
        <f t="shared" si="2"/>
        <v>10323000</v>
      </c>
      <c r="O10" s="14">
        <f t="shared" si="3"/>
        <v>4123000</v>
      </c>
    </row>
    <row r="11" spans="1:15" x14ac:dyDescent="0.25">
      <c r="A11" s="7">
        <v>10</v>
      </c>
      <c r="B11" s="4">
        <v>110</v>
      </c>
      <c r="C11" s="7" t="s">
        <v>3</v>
      </c>
      <c r="D11" s="7" t="s">
        <v>31</v>
      </c>
      <c r="E11" s="4" t="s">
        <v>40</v>
      </c>
      <c r="F11" s="7" t="s">
        <v>81</v>
      </c>
      <c r="G11" s="8">
        <f>_xlfn.XLOOKUP($B11,car_master!$B11:$B47,car_master!$I11:$I47)</f>
        <v>6500000</v>
      </c>
      <c r="H11" s="8">
        <f xml:space="preserve"> _xlfn.XLOOKUP(B11,car_master!$B11:$B47,car_master!$I11:$I47) * tax_parameters!$B$3</f>
        <v>650000</v>
      </c>
      <c r="I11" s="8" cm="1">
        <f t="array" ref="I11">_xlfn.XLOOKUP($B11,$B10:$B48,$H10:$H48 * tax_parameters!$C$3)</f>
        <v>65000</v>
      </c>
      <c r="J11" s="8">
        <f t="shared" si="0"/>
        <v>7215000</v>
      </c>
      <c r="K11" s="8" cm="1">
        <f t="array" ref="K11">_xlfn.XLOOKUP($B11, $B11:$B48, $J11:$J48 * 0.28)</f>
        <v>2020200.0000000002</v>
      </c>
      <c r="L11" s="8" cm="1">
        <f t="array" ref="L11">_xlfn.XLOOKUP($B11, $B11:$B47, $J11:$J47 * 0.22)</f>
        <v>1587300</v>
      </c>
      <c r="M11" s="8">
        <f t="shared" si="1"/>
        <v>4322500</v>
      </c>
      <c r="N11" s="8">
        <f t="shared" si="2"/>
        <v>10822500</v>
      </c>
      <c r="O11" s="14">
        <f t="shared" si="3"/>
        <v>4322500</v>
      </c>
    </row>
    <row r="12" spans="1:15" x14ac:dyDescent="0.25">
      <c r="A12" s="7">
        <v>11</v>
      </c>
      <c r="B12" s="4">
        <v>111</v>
      </c>
      <c r="C12" s="7" t="s">
        <v>44</v>
      </c>
      <c r="D12" s="7" t="s">
        <v>45</v>
      </c>
      <c r="E12" s="4" t="s">
        <v>46</v>
      </c>
      <c r="F12" s="7" t="s">
        <v>81</v>
      </c>
      <c r="G12" s="8">
        <f>_xlfn.XLOOKUP($B12,car_master!$B12:$B48,car_master!$I12:$I48)</f>
        <v>900000</v>
      </c>
      <c r="H12" s="8">
        <f xml:space="preserve"> _xlfn.XLOOKUP(B12,car_master!$B12:$B48,car_master!$I12:$I48) * tax_parameters!$B$3</f>
        <v>90000</v>
      </c>
      <c r="I12" s="8" cm="1">
        <f t="array" ref="I12">_xlfn.XLOOKUP($B12,$B11:$B49,$H11:$H49 * tax_parameters!$C$3)</f>
        <v>9000</v>
      </c>
      <c r="J12" s="8">
        <f t="shared" si="0"/>
        <v>999000</v>
      </c>
      <c r="K12" s="8" cm="1">
        <f t="array" ref="K12">_xlfn.XLOOKUP($B12, $B12:$B49, $J12:$J49 * 0.28)</f>
        <v>279720</v>
      </c>
      <c r="L12" s="8" cm="1">
        <f t="array" ref="L12">_xlfn.XLOOKUP($B12, $B12:$B48, $J12:$J48 * 0.22)</f>
        <v>219780</v>
      </c>
      <c r="M12" s="8">
        <f t="shared" si="1"/>
        <v>598500</v>
      </c>
      <c r="N12" s="8">
        <f t="shared" si="2"/>
        <v>1498500</v>
      </c>
      <c r="O12" s="14">
        <f t="shared" si="3"/>
        <v>598500</v>
      </c>
    </row>
    <row r="13" spans="1:15" x14ac:dyDescent="0.25">
      <c r="A13" s="7">
        <v>12</v>
      </c>
      <c r="B13" s="4">
        <v>112</v>
      </c>
      <c r="C13" s="7" t="s">
        <v>44</v>
      </c>
      <c r="D13" s="7" t="s">
        <v>45</v>
      </c>
      <c r="E13" s="4" t="s">
        <v>47</v>
      </c>
      <c r="F13" s="7" t="s">
        <v>81</v>
      </c>
      <c r="G13" s="8">
        <f>_xlfn.XLOOKUP($B13,car_master!$B13:$B49,car_master!$I13:$I49)</f>
        <v>1050000</v>
      </c>
      <c r="H13" s="8">
        <f xml:space="preserve"> _xlfn.XLOOKUP(B13,car_master!$B13:$B49,car_master!$I13:$I49) * tax_parameters!$B$3</f>
        <v>105000</v>
      </c>
      <c r="I13" s="8" cm="1">
        <f t="array" ref="I13">_xlfn.XLOOKUP($B13,$B12:$B50,$H12:$H50 * tax_parameters!$C$3)</f>
        <v>10500</v>
      </c>
      <c r="J13" s="8">
        <f t="shared" si="0"/>
        <v>1165500</v>
      </c>
      <c r="K13" s="8" cm="1">
        <f t="array" ref="K13">_xlfn.XLOOKUP($B13, $B13:$B50, $J13:$J50 * 0.28)</f>
        <v>326340.00000000006</v>
      </c>
      <c r="L13" s="8" cm="1">
        <f t="array" ref="L13">_xlfn.XLOOKUP($B13, $B13:$B49, $J13:$J49 * 0.22)</f>
        <v>256410</v>
      </c>
      <c r="M13" s="8">
        <f t="shared" si="1"/>
        <v>698250</v>
      </c>
      <c r="N13" s="8">
        <f t="shared" si="2"/>
        <v>1748250</v>
      </c>
      <c r="O13" s="14">
        <f t="shared" si="3"/>
        <v>698250</v>
      </c>
    </row>
    <row r="14" spans="1:15" x14ac:dyDescent="0.25">
      <c r="A14" s="7">
        <v>13</v>
      </c>
      <c r="B14" s="4">
        <v>113</v>
      </c>
      <c r="C14" s="7" t="s">
        <v>44</v>
      </c>
      <c r="D14" s="7" t="s">
        <v>45</v>
      </c>
      <c r="E14" s="4" t="s">
        <v>48</v>
      </c>
      <c r="F14" s="7" t="s">
        <v>81</v>
      </c>
      <c r="G14" s="8">
        <f>_xlfn.XLOOKUP($B14,car_master!$B14:$B50,car_master!$I14:$I50)</f>
        <v>1500000</v>
      </c>
      <c r="H14" s="8">
        <f xml:space="preserve"> _xlfn.XLOOKUP(B14,car_master!$B14:$B50,car_master!$I14:$I50) * tax_parameters!$B$3</f>
        <v>150000</v>
      </c>
      <c r="I14" s="8" cm="1">
        <f t="array" ref="I14">_xlfn.XLOOKUP($B14,$B13:$B51,$H13:$H51 * tax_parameters!$C$3)</f>
        <v>15000</v>
      </c>
      <c r="J14" s="8">
        <f t="shared" si="0"/>
        <v>1665000</v>
      </c>
      <c r="K14" s="8" cm="1">
        <f t="array" ref="K14">_xlfn.XLOOKUP($B14, $B14:$B51, $J14:$J51 * 0.28)</f>
        <v>466200.00000000006</v>
      </c>
      <c r="L14" s="8" cm="1">
        <f t="array" ref="L14">_xlfn.XLOOKUP($B14, $B14:$B50, $J14:$J50 * 0.22)</f>
        <v>366300</v>
      </c>
      <c r="M14" s="8">
        <f t="shared" si="1"/>
        <v>997500</v>
      </c>
      <c r="N14" s="8">
        <f t="shared" si="2"/>
        <v>2497500</v>
      </c>
      <c r="O14" s="14">
        <f t="shared" si="3"/>
        <v>997500</v>
      </c>
    </row>
    <row r="15" spans="1:15" x14ac:dyDescent="0.25">
      <c r="A15" s="7">
        <v>14</v>
      </c>
      <c r="B15" s="4">
        <v>114</v>
      </c>
      <c r="C15" s="7" t="s">
        <v>44</v>
      </c>
      <c r="D15" s="7" t="s">
        <v>49</v>
      </c>
      <c r="E15" s="4" t="s">
        <v>46</v>
      </c>
      <c r="F15" s="7" t="s">
        <v>81</v>
      </c>
      <c r="G15" s="8">
        <f>_xlfn.XLOOKUP($B15,car_master!$B15:$B51,car_master!$I15:$I51)</f>
        <v>950000</v>
      </c>
      <c r="H15" s="8">
        <f xml:space="preserve"> _xlfn.XLOOKUP(B15,car_master!$B15:$B51,car_master!$I15:$I51) * tax_parameters!$B$3</f>
        <v>95000</v>
      </c>
      <c r="I15" s="8" cm="1">
        <f t="array" ref="I15">_xlfn.XLOOKUP($B15,$B14:$B52,$H14:$H52 * tax_parameters!$C$3)</f>
        <v>9500</v>
      </c>
      <c r="J15" s="8">
        <f t="shared" si="0"/>
        <v>1054500</v>
      </c>
      <c r="K15" s="8" cm="1">
        <f t="array" ref="K15">_xlfn.XLOOKUP($B15, $B15:$B52, $J15:$J52 * 0.28)</f>
        <v>295260</v>
      </c>
      <c r="L15" s="8" cm="1">
        <f t="array" ref="L15">_xlfn.XLOOKUP($B15, $B15:$B51, $J15:$J51 * 0.22)</f>
        <v>231990</v>
      </c>
      <c r="M15" s="8">
        <f t="shared" si="1"/>
        <v>631750</v>
      </c>
      <c r="N15" s="8">
        <f t="shared" si="2"/>
        <v>1581750</v>
      </c>
      <c r="O15" s="14">
        <f t="shared" si="3"/>
        <v>631750</v>
      </c>
    </row>
    <row r="16" spans="1:15" x14ac:dyDescent="0.25">
      <c r="A16" s="7">
        <v>15</v>
      </c>
      <c r="B16" s="4">
        <v>115</v>
      </c>
      <c r="C16" s="7" t="s">
        <v>44</v>
      </c>
      <c r="D16" s="7" t="s">
        <v>49</v>
      </c>
      <c r="E16" s="4" t="s">
        <v>47</v>
      </c>
      <c r="F16" s="7" t="s">
        <v>81</v>
      </c>
      <c r="G16" s="8">
        <f>_xlfn.XLOOKUP($B16,car_master!$B16:$B52,car_master!$I16:$I52)</f>
        <v>1200000</v>
      </c>
      <c r="H16" s="8">
        <f xml:space="preserve"> _xlfn.XLOOKUP(B16,car_master!$B16:$B52,car_master!$I16:$I52) * tax_parameters!$B$3</f>
        <v>120000</v>
      </c>
      <c r="I16" s="8" cm="1">
        <f t="array" ref="I16">_xlfn.XLOOKUP($B16,$B15:$B53,$H15:$H53 * tax_parameters!$C$3)</f>
        <v>12000</v>
      </c>
      <c r="J16" s="8">
        <f t="shared" si="0"/>
        <v>1332000</v>
      </c>
      <c r="K16" s="8" cm="1">
        <f t="array" ref="K16">_xlfn.XLOOKUP($B16, $B16:$B53, $J16:$J53 * 0.28)</f>
        <v>372960.00000000006</v>
      </c>
      <c r="L16" s="8" cm="1">
        <f t="array" ref="L16">_xlfn.XLOOKUP($B16, $B16:$B52, $J16:$J52 * 0.22)</f>
        <v>293040</v>
      </c>
      <c r="M16" s="8">
        <f t="shared" si="1"/>
        <v>798000</v>
      </c>
      <c r="N16" s="8">
        <f t="shared" si="2"/>
        <v>1998000</v>
      </c>
      <c r="O16" s="14">
        <f t="shared" si="3"/>
        <v>798000</v>
      </c>
    </row>
    <row r="17" spans="1:15" x14ac:dyDescent="0.25">
      <c r="A17" s="7">
        <v>16</v>
      </c>
      <c r="B17" s="4">
        <v>116</v>
      </c>
      <c r="C17" s="7" t="s">
        <v>44</v>
      </c>
      <c r="D17" s="7" t="s">
        <v>49</v>
      </c>
      <c r="E17" s="4" t="s">
        <v>48</v>
      </c>
      <c r="F17" s="7" t="s">
        <v>81</v>
      </c>
      <c r="G17" s="8">
        <f>_xlfn.XLOOKUP($B17,car_master!$B17:$B53,car_master!$I17:$I53)</f>
        <v>1550000</v>
      </c>
      <c r="H17" s="8">
        <f xml:space="preserve"> _xlfn.XLOOKUP(B17,car_master!$B17:$B53,car_master!$I17:$I53) * tax_parameters!$B$3</f>
        <v>155000</v>
      </c>
      <c r="I17" s="8" cm="1">
        <f t="array" ref="I17">_xlfn.XLOOKUP($B17,$B16:$B54,$H16:$H54 * tax_parameters!$C$3)</f>
        <v>15500</v>
      </c>
      <c r="J17" s="8">
        <f t="shared" si="0"/>
        <v>1720500</v>
      </c>
      <c r="K17" s="8" cm="1">
        <f t="array" ref="K17">_xlfn.XLOOKUP($B17, $B17:$B54, $J17:$J54 * 0.28)</f>
        <v>481740.00000000006</v>
      </c>
      <c r="L17" s="8" cm="1">
        <f t="array" ref="L17">_xlfn.XLOOKUP($B17, $B17:$B53, $J17:$J53 * 0.22)</f>
        <v>378510</v>
      </c>
      <c r="M17" s="8">
        <f t="shared" si="1"/>
        <v>1030750</v>
      </c>
      <c r="N17" s="8">
        <f t="shared" si="2"/>
        <v>2580750</v>
      </c>
      <c r="O17" s="14">
        <f t="shared" si="3"/>
        <v>1030750</v>
      </c>
    </row>
    <row r="18" spans="1:15" x14ac:dyDescent="0.25">
      <c r="A18" s="7">
        <v>17</v>
      </c>
      <c r="B18" s="4">
        <v>117</v>
      </c>
      <c r="C18" s="7" t="s">
        <v>44</v>
      </c>
      <c r="D18" s="7" t="s">
        <v>50</v>
      </c>
      <c r="E18" s="4" t="s">
        <v>51</v>
      </c>
      <c r="F18" s="7" t="s">
        <v>81</v>
      </c>
      <c r="G18" s="8">
        <f>_xlfn.XLOOKUP($B18,car_master!$B18:$B54,car_master!$I18:$I54)</f>
        <v>2800000</v>
      </c>
      <c r="H18" s="8">
        <f xml:space="preserve"> _xlfn.XLOOKUP(B18,car_master!$B18:$B54,car_master!$I18:$I54) * tax_parameters!$B$3</f>
        <v>280000</v>
      </c>
      <c r="I18" s="8" cm="1">
        <f t="array" ref="I18">_xlfn.XLOOKUP($B18,$B17:$B55,$H17:$H55 * tax_parameters!$C$3)</f>
        <v>28000</v>
      </c>
      <c r="J18" s="8">
        <f t="shared" si="0"/>
        <v>3108000</v>
      </c>
      <c r="K18" s="8" cm="1">
        <f t="array" ref="K18">_xlfn.XLOOKUP($B18, $B18:$B55, $J18:$J55 * 0.28)</f>
        <v>870240.00000000012</v>
      </c>
      <c r="L18" s="8" cm="1">
        <f t="array" ref="L18">_xlfn.XLOOKUP($B18, $B18:$B54, $J18:$J54 * 0.22)</f>
        <v>683760</v>
      </c>
      <c r="M18" s="8">
        <f t="shared" si="1"/>
        <v>1862000</v>
      </c>
      <c r="N18" s="8">
        <f t="shared" si="2"/>
        <v>4662000</v>
      </c>
      <c r="O18" s="14">
        <f t="shared" si="3"/>
        <v>1862000</v>
      </c>
    </row>
    <row r="19" spans="1:15" x14ac:dyDescent="0.25">
      <c r="A19" s="7">
        <v>18</v>
      </c>
      <c r="B19" s="4">
        <v>118</v>
      </c>
      <c r="C19" s="7" t="s">
        <v>44</v>
      </c>
      <c r="D19" s="7" t="s">
        <v>50</v>
      </c>
      <c r="E19" s="4" t="s">
        <v>52</v>
      </c>
      <c r="F19" s="7" t="s">
        <v>81</v>
      </c>
      <c r="G19" s="8">
        <f>_xlfn.XLOOKUP($B19,car_master!$B19:$B55,car_master!$I19:$I55)</f>
        <v>3050000</v>
      </c>
      <c r="H19" s="8">
        <f xml:space="preserve"> _xlfn.XLOOKUP(B19,car_master!$B19:$B55,car_master!$I19:$I55) * tax_parameters!$B$3</f>
        <v>305000</v>
      </c>
      <c r="I19" s="8" cm="1">
        <f t="array" ref="I19">_xlfn.XLOOKUP($B19,$B18:$B56,$H18:$H56 * tax_parameters!$C$3)</f>
        <v>30500</v>
      </c>
      <c r="J19" s="8">
        <f t="shared" si="0"/>
        <v>3385500</v>
      </c>
      <c r="K19" s="8" cm="1">
        <f t="array" ref="K19">_xlfn.XLOOKUP($B19, $B19:$B56, $J19:$J56 * 0.28)</f>
        <v>947940.00000000012</v>
      </c>
      <c r="L19" s="8" cm="1">
        <f t="array" ref="L19">_xlfn.XLOOKUP($B19, $B19:$B55, $J19:$J55 * 0.22)</f>
        <v>744810</v>
      </c>
      <c r="M19" s="8">
        <f t="shared" si="1"/>
        <v>2028250</v>
      </c>
      <c r="N19" s="8">
        <f t="shared" si="2"/>
        <v>5078250</v>
      </c>
      <c r="O19" s="14">
        <f t="shared" si="3"/>
        <v>2028250</v>
      </c>
    </row>
    <row r="20" spans="1:15" x14ac:dyDescent="0.25">
      <c r="A20" s="7">
        <v>19</v>
      </c>
      <c r="B20" s="4">
        <v>119</v>
      </c>
      <c r="C20" s="7" t="s">
        <v>44</v>
      </c>
      <c r="D20" s="7" t="s">
        <v>53</v>
      </c>
      <c r="E20" s="4" t="s">
        <v>54</v>
      </c>
      <c r="F20" s="7" t="s">
        <v>81</v>
      </c>
      <c r="G20" s="8">
        <f>_xlfn.XLOOKUP($B20,car_master!$B20:$B56,car_master!$I20:$I56)</f>
        <v>780000</v>
      </c>
      <c r="H20" s="8">
        <f xml:space="preserve"> _xlfn.XLOOKUP(B20,car_master!$B20:$B56,car_master!$I20:$I56) * tax_parameters!$B$3</f>
        <v>78000</v>
      </c>
      <c r="I20" s="8" cm="1">
        <f t="array" ref="I20">_xlfn.XLOOKUP($B20,$B19:$B57,$H19:$H57 * tax_parameters!$C$3)</f>
        <v>7800</v>
      </c>
      <c r="J20" s="8">
        <f t="shared" si="0"/>
        <v>865800</v>
      </c>
      <c r="K20" s="8" cm="1">
        <f t="array" ref="K20">_xlfn.XLOOKUP($B20, $B20:$B57, $J20:$J57 * 0.28)</f>
        <v>242424.00000000003</v>
      </c>
      <c r="L20" s="8" cm="1">
        <f t="array" ref="L20">_xlfn.XLOOKUP($B20, $B20:$B56, $J20:$J56 * 0.22)</f>
        <v>190476</v>
      </c>
      <c r="M20" s="8">
        <f t="shared" si="1"/>
        <v>518700</v>
      </c>
      <c r="N20" s="8">
        <f t="shared" si="2"/>
        <v>1298700</v>
      </c>
      <c r="O20" s="14">
        <f t="shared" si="3"/>
        <v>518700</v>
      </c>
    </row>
    <row r="21" spans="1:15" x14ac:dyDescent="0.25">
      <c r="A21" s="7">
        <v>20</v>
      </c>
      <c r="B21" s="4">
        <v>120</v>
      </c>
      <c r="C21" s="7" t="s">
        <v>44</v>
      </c>
      <c r="D21" s="7" t="s">
        <v>55</v>
      </c>
      <c r="E21" s="4" t="s">
        <v>47</v>
      </c>
      <c r="F21" s="7" t="s">
        <v>81</v>
      </c>
      <c r="G21" s="8">
        <f>_xlfn.XLOOKUP($B21,car_master!$B21:$B57,car_master!$I21:$I57)</f>
        <v>950000</v>
      </c>
      <c r="H21" s="8">
        <f xml:space="preserve"> _xlfn.XLOOKUP(B21,car_master!$B21:$B57,car_master!$I21:$I57) * tax_parameters!$B$3</f>
        <v>95000</v>
      </c>
      <c r="I21" s="8" cm="1">
        <f t="array" ref="I21">_xlfn.XLOOKUP($B21,$B20:$B58,$H20:$H58 * tax_parameters!$C$3)</f>
        <v>9500</v>
      </c>
      <c r="J21" s="8">
        <f t="shared" si="0"/>
        <v>1054500</v>
      </c>
      <c r="K21" s="8" cm="1">
        <f t="array" ref="K21">_xlfn.XLOOKUP($B21, $B21:$B58, $J21:$J58 * 0.28)</f>
        <v>295260</v>
      </c>
      <c r="L21" s="8" cm="1">
        <f t="array" ref="L21">_xlfn.XLOOKUP($B21, $B21:$B57, $J21:$J57 * 0.22)</f>
        <v>231990</v>
      </c>
      <c r="M21" s="8">
        <f t="shared" si="1"/>
        <v>631750</v>
      </c>
      <c r="N21" s="8">
        <f t="shared" si="2"/>
        <v>1581750</v>
      </c>
      <c r="O21" s="14">
        <f t="shared" si="3"/>
        <v>631750</v>
      </c>
    </row>
    <row r="22" spans="1:15" x14ac:dyDescent="0.25">
      <c r="A22" s="7">
        <v>21</v>
      </c>
      <c r="B22" s="4">
        <v>121</v>
      </c>
      <c r="C22" s="7" t="s">
        <v>8</v>
      </c>
      <c r="D22" s="7" t="s">
        <v>56</v>
      </c>
      <c r="E22" s="4" t="s">
        <v>57</v>
      </c>
      <c r="F22" s="7" t="s">
        <v>81</v>
      </c>
      <c r="G22" s="8">
        <f>_xlfn.XLOOKUP($B22,car_master!$B22:$B58,car_master!$I22:$I58)</f>
        <v>3600000</v>
      </c>
      <c r="H22" s="8">
        <f xml:space="preserve"> _xlfn.XLOOKUP(B22,car_master!$B22:$B58,car_master!$I22:$I58) * tax_parameters!$B$3</f>
        <v>360000</v>
      </c>
      <c r="I22" s="8" cm="1">
        <f t="array" ref="I22">_xlfn.XLOOKUP($B22,$B21:$B59,$H21:$H59 * tax_parameters!$C$3)</f>
        <v>36000</v>
      </c>
      <c r="J22" s="8">
        <f t="shared" si="0"/>
        <v>3996000</v>
      </c>
      <c r="K22" s="8" cm="1">
        <f t="array" ref="K22">_xlfn.XLOOKUP($B22, $B22:$B59, $J22:$J59 * 0.28)</f>
        <v>1118880</v>
      </c>
      <c r="L22" s="8" cm="1">
        <f t="array" ref="L22">_xlfn.XLOOKUP($B22, $B22:$B58, $J22:$J58 * 0.22)</f>
        <v>879120</v>
      </c>
      <c r="M22" s="8">
        <f t="shared" si="1"/>
        <v>2394000</v>
      </c>
      <c r="N22" s="8">
        <f t="shared" si="2"/>
        <v>5994000</v>
      </c>
      <c r="O22" s="14">
        <f t="shared" si="3"/>
        <v>2394000</v>
      </c>
    </row>
    <row r="23" spans="1:15" x14ac:dyDescent="0.25">
      <c r="A23" s="7">
        <v>22</v>
      </c>
      <c r="B23" s="4">
        <v>122</v>
      </c>
      <c r="C23" s="7" t="s">
        <v>8</v>
      </c>
      <c r="D23" s="7" t="s">
        <v>9</v>
      </c>
      <c r="E23" s="4" t="s">
        <v>58</v>
      </c>
      <c r="F23" s="7" t="s">
        <v>81</v>
      </c>
      <c r="G23" s="8">
        <f>_xlfn.XLOOKUP($B23,car_master!$B23:$B59,car_master!$I23:$I59)</f>
        <v>5800000</v>
      </c>
      <c r="H23" s="8">
        <f xml:space="preserve"> _xlfn.XLOOKUP(B23,car_master!$B23:$B59,car_master!$I23:$I59) * tax_parameters!$B$3</f>
        <v>580000</v>
      </c>
      <c r="I23" s="8" cm="1">
        <f t="array" ref="I23">_xlfn.XLOOKUP($B23,$B22:$B60,$H22:$H60 * tax_parameters!$C$3)</f>
        <v>58000</v>
      </c>
      <c r="J23" s="8">
        <f t="shared" si="0"/>
        <v>6438000</v>
      </c>
      <c r="K23" s="8" cm="1">
        <f t="array" ref="K23">_xlfn.XLOOKUP($B23, $B23:$B60, $J23:$J60 * 0.28)</f>
        <v>1802640.0000000002</v>
      </c>
      <c r="L23" s="8" cm="1">
        <f t="array" ref="L23">_xlfn.XLOOKUP($B23, $B23:$B59, $J23:$J59 * 0.22)</f>
        <v>1416360</v>
      </c>
      <c r="M23" s="8">
        <f t="shared" si="1"/>
        <v>3857000</v>
      </c>
      <c r="N23" s="8">
        <f t="shared" si="2"/>
        <v>9657000</v>
      </c>
      <c r="O23" s="14">
        <f t="shared" si="3"/>
        <v>3857000</v>
      </c>
    </row>
    <row r="24" spans="1:15" x14ac:dyDescent="0.25">
      <c r="A24" s="7">
        <v>23</v>
      </c>
      <c r="B24" s="4">
        <v>123</v>
      </c>
      <c r="C24" s="7" t="s">
        <v>8</v>
      </c>
      <c r="D24" s="7" t="s">
        <v>10</v>
      </c>
      <c r="E24" s="4" t="s">
        <v>59</v>
      </c>
      <c r="F24" s="7" t="s">
        <v>81</v>
      </c>
      <c r="G24" s="8">
        <f>_xlfn.XLOOKUP($B24,car_master!$B24:$B60,car_master!$I24:$I60)</f>
        <v>6600000</v>
      </c>
      <c r="H24" s="8">
        <f xml:space="preserve"> _xlfn.XLOOKUP(B24,car_master!$B24:$B60,car_master!$I24:$I60) * tax_parameters!$B$3</f>
        <v>660000</v>
      </c>
      <c r="I24" s="8" cm="1">
        <f t="array" ref="I24">_xlfn.XLOOKUP($B24,$B23:$B61,$H23:$H61 * tax_parameters!$C$3)</f>
        <v>66000</v>
      </c>
      <c r="J24" s="8">
        <f t="shared" si="0"/>
        <v>7326000</v>
      </c>
      <c r="K24" s="8" cm="1">
        <f t="array" ref="K24">_xlfn.XLOOKUP($B24, $B24:$B61, $J24:$J61 * 0.28)</f>
        <v>2051280.0000000002</v>
      </c>
      <c r="L24" s="8" cm="1">
        <f t="array" ref="L24">_xlfn.XLOOKUP($B24, $B24:$B60, $J24:$J60 * 0.22)</f>
        <v>1611720</v>
      </c>
      <c r="M24" s="8">
        <f t="shared" si="1"/>
        <v>4389000</v>
      </c>
      <c r="N24" s="8">
        <f t="shared" si="2"/>
        <v>10989000</v>
      </c>
      <c r="O24" s="14">
        <f t="shared" si="3"/>
        <v>4389000</v>
      </c>
    </row>
    <row r="25" spans="1:15" x14ac:dyDescent="0.25">
      <c r="A25" s="7">
        <v>24</v>
      </c>
      <c r="B25" s="4">
        <v>124</v>
      </c>
      <c r="C25" s="7" t="s">
        <v>8</v>
      </c>
      <c r="D25" s="7" t="s">
        <v>60</v>
      </c>
      <c r="E25" s="4" t="s">
        <v>61</v>
      </c>
      <c r="F25" s="7" t="s">
        <v>81</v>
      </c>
      <c r="G25" s="8">
        <f>_xlfn.XLOOKUP($B25,car_master!$B25:$B61,car_master!$I25:$I61)</f>
        <v>4000000</v>
      </c>
      <c r="H25" s="8">
        <f xml:space="preserve"> _xlfn.XLOOKUP(B25,car_master!$B25:$B61,car_master!$I25:$I61) * tax_parameters!$B$3</f>
        <v>400000</v>
      </c>
      <c r="I25" s="8" cm="1">
        <f t="array" ref="I25">_xlfn.XLOOKUP($B25,$B24:$B62,$H24:$H62 * tax_parameters!$C$3)</f>
        <v>40000</v>
      </c>
      <c r="J25" s="8">
        <f t="shared" si="0"/>
        <v>4440000</v>
      </c>
      <c r="K25" s="8" cm="1">
        <f t="array" ref="K25">_xlfn.XLOOKUP($B25, $B25:$B62, $J25:$J62 * 0.28)</f>
        <v>1243200.0000000002</v>
      </c>
      <c r="L25" s="8" cm="1">
        <f t="array" ref="L25">_xlfn.XLOOKUP($B25, $B25:$B61, $J25:$J61 * 0.22)</f>
        <v>976800</v>
      </c>
      <c r="M25" s="8">
        <f t="shared" si="1"/>
        <v>2660000</v>
      </c>
      <c r="N25" s="8">
        <f t="shared" si="2"/>
        <v>6660000</v>
      </c>
      <c r="O25" s="14">
        <f t="shared" si="3"/>
        <v>2660000</v>
      </c>
    </row>
    <row r="26" spans="1:15" x14ac:dyDescent="0.25">
      <c r="A26" s="7">
        <v>25</v>
      </c>
      <c r="B26" s="4">
        <v>125</v>
      </c>
      <c r="C26" s="7" t="s">
        <v>8</v>
      </c>
      <c r="D26" s="7" t="s">
        <v>62</v>
      </c>
      <c r="E26" s="4" t="s">
        <v>63</v>
      </c>
      <c r="F26" s="7" t="s">
        <v>81</v>
      </c>
      <c r="G26" s="8">
        <f>_xlfn.XLOOKUP($B26,car_master!$B26:$B62,car_master!$I26:$I62)</f>
        <v>6900000</v>
      </c>
      <c r="H26" s="8">
        <f xml:space="preserve"> _xlfn.XLOOKUP(B26,car_master!$B26:$B62,car_master!$I26:$I62) * tax_parameters!$B$3</f>
        <v>690000</v>
      </c>
      <c r="I26" s="8" cm="1">
        <f t="array" ref="I26">_xlfn.XLOOKUP($B26,$B25:$B63,$H25:$H63 * tax_parameters!$C$3)</f>
        <v>69000</v>
      </c>
      <c r="J26" s="8">
        <f t="shared" si="0"/>
        <v>7659000</v>
      </c>
      <c r="K26" s="8" cm="1">
        <f t="array" ref="K26">_xlfn.XLOOKUP($B26, $B26:$B63, $J26:$J63 * 0.28)</f>
        <v>2144520</v>
      </c>
      <c r="L26" s="8" cm="1">
        <f t="array" ref="L26">_xlfn.XLOOKUP($B26, $B26:$B62, $J26:$J62 * 0.22)</f>
        <v>1684980</v>
      </c>
      <c r="M26" s="8">
        <f t="shared" si="1"/>
        <v>4588500</v>
      </c>
      <c r="N26" s="8">
        <f t="shared" si="2"/>
        <v>11488500</v>
      </c>
      <c r="O26" s="14">
        <f t="shared" si="3"/>
        <v>4588500</v>
      </c>
    </row>
    <row r="27" spans="1:15" x14ac:dyDescent="0.25">
      <c r="A27" s="7">
        <v>26</v>
      </c>
      <c r="B27" s="4">
        <v>126</v>
      </c>
      <c r="C27" s="7" t="s">
        <v>8</v>
      </c>
      <c r="D27" s="7" t="s">
        <v>64</v>
      </c>
      <c r="E27" s="4" t="s">
        <v>65</v>
      </c>
      <c r="F27" s="7" t="s">
        <v>81</v>
      </c>
      <c r="G27" s="8">
        <f>_xlfn.XLOOKUP($B27,car_master!$B27:$B63,car_master!$I27:$I63)</f>
        <v>7800000</v>
      </c>
      <c r="H27" s="8">
        <f xml:space="preserve"> _xlfn.XLOOKUP(B27,car_master!$B27:$B63,car_master!$I27:$I63) * tax_parameters!$B$3</f>
        <v>780000</v>
      </c>
      <c r="I27" s="8" cm="1">
        <f t="array" ref="I27">_xlfn.XLOOKUP($B27,$B26:$B64,$H26:$H64 * tax_parameters!$C$3)</f>
        <v>78000</v>
      </c>
      <c r="J27" s="8">
        <f t="shared" si="0"/>
        <v>8658000</v>
      </c>
      <c r="K27" s="8" cm="1">
        <f t="array" ref="K27">_xlfn.XLOOKUP($B27, $B27:$B64, $J27:$J64 * 0.28)</f>
        <v>2424240</v>
      </c>
      <c r="L27" s="8" cm="1">
        <f t="array" ref="L27">_xlfn.XLOOKUP($B27, $B27:$B63, $J27:$J63 * 0.22)</f>
        <v>1904760</v>
      </c>
      <c r="M27" s="8">
        <f t="shared" si="1"/>
        <v>5187000</v>
      </c>
      <c r="N27" s="8">
        <f t="shared" si="2"/>
        <v>12987000</v>
      </c>
      <c r="O27" s="14">
        <f t="shared" si="3"/>
        <v>5187000</v>
      </c>
    </row>
    <row r="28" spans="1:15" x14ac:dyDescent="0.25">
      <c r="A28" s="7">
        <v>27</v>
      </c>
      <c r="B28" s="4">
        <v>127</v>
      </c>
      <c r="C28" s="7" t="s">
        <v>11</v>
      </c>
      <c r="D28" s="7" t="s">
        <v>12</v>
      </c>
      <c r="E28" s="4" t="s">
        <v>66</v>
      </c>
      <c r="F28" s="7" t="s">
        <v>81</v>
      </c>
      <c r="G28" s="8">
        <f>_xlfn.XLOOKUP($B28,car_master!$B28:$B64,car_master!$I28:$I64)</f>
        <v>4500000</v>
      </c>
      <c r="H28" s="8">
        <f xml:space="preserve"> _xlfn.XLOOKUP(B28,car_master!$B28:$B64,car_master!$I28:$I64) * tax_parameters!$B$3</f>
        <v>450000</v>
      </c>
      <c r="I28" s="8" cm="1">
        <f t="array" ref="I28">_xlfn.XLOOKUP($B28,$B27:$B65,$H27:$H65 * tax_parameters!$C$3)</f>
        <v>45000</v>
      </c>
      <c r="J28" s="8">
        <f t="shared" si="0"/>
        <v>4995000</v>
      </c>
      <c r="K28" s="8" cm="1">
        <f t="array" ref="K28">_xlfn.XLOOKUP($B28, $B28:$B65, $J28:$J65 * 0.28)</f>
        <v>1398600.0000000002</v>
      </c>
      <c r="L28" s="8" cm="1">
        <f t="array" ref="L28">_xlfn.XLOOKUP($B28, $B28:$B64, $J28:$J64 * 0.22)</f>
        <v>1098900</v>
      </c>
      <c r="M28" s="8">
        <f t="shared" si="1"/>
        <v>2992500</v>
      </c>
      <c r="N28" s="8">
        <f t="shared" si="2"/>
        <v>7492500</v>
      </c>
      <c r="O28" s="14">
        <f t="shared" si="3"/>
        <v>2992500</v>
      </c>
    </row>
    <row r="29" spans="1:15" x14ac:dyDescent="0.25">
      <c r="A29" s="7">
        <v>28</v>
      </c>
      <c r="B29" s="4">
        <v>128</v>
      </c>
      <c r="C29" s="7" t="s">
        <v>11</v>
      </c>
      <c r="D29" s="7" t="s">
        <v>13</v>
      </c>
      <c r="E29" s="4" t="s">
        <v>67</v>
      </c>
      <c r="F29" s="7" t="s">
        <v>81</v>
      </c>
      <c r="G29" s="8">
        <f>_xlfn.XLOOKUP($B29,car_master!$B29:$B65,car_master!$I29:$I65)</f>
        <v>5800000</v>
      </c>
      <c r="H29" s="8">
        <f xml:space="preserve"> _xlfn.XLOOKUP(B29,car_master!$B29:$B65,car_master!$I29:$I65) * tax_parameters!$B$3</f>
        <v>580000</v>
      </c>
      <c r="I29" s="8" cm="1">
        <f t="array" ref="I29">_xlfn.XLOOKUP($B29,$B28:$B66,$H28:$H66 * tax_parameters!$C$3)</f>
        <v>58000</v>
      </c>
      <c r="J29" s="8">
        <f t="shared" si="0"/>
        <v>6438000</v>
      </c>
      <c r="K29" s="8" cm="1">
        <f t="array" ref="K29">_xlfn.XLOOKUP($B29, $B29:$B66, $J29:$J66 * 0.28)</f>
        <v>1802640.0000000002</v>
      </c>
      <c r="L29" s="8" cm="1">
        <f t="array" ref="L29">_xlfn.XLOOKUP($B29, $B29:$B65, $J29:$J65 * 0.22)</f>
        <v>1416360</v>
      </c>
      <c r="M29" s="8">
        <f t="shared" si="1"/>
        <v>3857000</v>
      </c>
      <c r="N29" s="8">
        <f t="shared" si="2"/>
        <v>9657000</v>
      </c>
      <c r="O29" s="14">
        <f t="shared" si="3"/>
        <v>3857000</v>
      </c>
    </row>
    <row r="30" spans="1:15" x14ac:dyDescent="0.25">
      <c r="A30" s="7">
        <v>29</v>
      </c>
      <c r="B30" s="4">
        <v>129</v>
      </c>
      <c r="C30" s="7" t="s">
        <v>11</v>
      </c>
      <c r="D30" s="7" t="s">
        <v>68</v>
      </c>
      <c r="E30" s="4" t="s">
        <v>67</v>
      </c>
      <c r="F30" s="7" t="s">
        <v>81</v>
      </c>
      <c r="G30" s="8">
        <f>_xlfn.XLOOKUP($B30,car_master!$B30:$B66,car_master!$I30:$I66)</f>
        <v>4400000</v>
      </c>
      <c r="H30" s="8">
        <f xml:space="preserve"> _xlfn.XLOOKUP(B30,car_master!$B30:$B66,car_master!$I30:$I66) * tax_parameters!$B$3</f>
        <v>440000</v>
      </c>
      <c r="I30" s="8" cm="1">
        <f t="array" ref="I30">_xlfn.XLOOKUP($B30,$B29:$B67,$H29:$H67 * tax_parameters!$C$3)</f>
        <v>44000</v>
      </c>
      <c r="J30" s="8">
        <f t="shared" si="0"/>
        <v>4884000</v>
      </c>
      <c r="K30" s="8" cm="1">
        <f t="array" ref="K30">_xlfn.XLOOKUP($B30, $B30:$B67, $J30:$J67 * 0.28)</f>
        <v>1367520.0000000002</v>
      </c>
      <c r="L30" s="8" cm="1">
        <f t="array" ref="L30">_xlfn.XLOOKUP($B30, $B30:$B66, $J30:$J66 * 0.22)</f>
        <v>1074480</v>
      </c>
      <c r="M30" s="8">
        <f t="shared" si="1"/>
        <v>2926000</v>
      </c>
      <c r="N30" s="8">
        <f t="shared" si="2"/>
        <v>7326000</v>
      </c>
      <c r="O30" s="14">
        <f t="shared" si="3"/>
        <v>2926000</v>
      </c>
    </row>
    <row r="31" spans="1:15" x14ac:dyDescent="0.25">
      <c r="A31" s="7">
        <v>30</v>
      </c>
      <c r="B31" s="4">
        <v>130</v>
      </c>
      <c r="C31" s="7" t="s">
        <v>11</v>
      </c>
      <c r="D31" s="7" t="s">
        <v>69</v>
      </c>
      <c r="E31" s="4" t="s">
        <v>70</v>
      </c>
      <c r="F31" s="7" t="s">
        <v>81</v>
      </c>
      <c r="G31" s="8">
        <f>_xlfn.XLOOKUP($B31,car_master!$B31:$B67,car_master!$I31:$I67)</f>
        <v>5200000</v>
      </c>
      <c r="H31" s="8">
        <f xml:space="preserve"> _xlfn.XLOOKUP(B31,car_master!$B31:$B67,car_master!$I31:$I67) * tax_parameters!$B$3</f>
        <v>520000</v>
      </c>
      <c r="I31" s="8" cm="1">
        <f t="array" ref="I31">_xlfn.XLOOKUP($B31,$B30:$B68,$H30:$H68 * tax_parameters!$C$3)</f>
        <v>52000</v>
      </c>
      <c r="J31" s="8">
        <f t="shared" si="0"/>
        <v>5772000</v>
      </c>
      <c r="K31" s="8" cm="1">
        <f t="array" ref="K31">_xlfn.XLOOKUP($B31, $B31:$B68, $J31:$J68 * 0.28)</f>
        <v>1616160.0000000002</v>
      </c>
      <c r="L31" s="8" cm="1">
        <f t="array" ref="L31">_xlfn.XLOOKUP($B31, $B31:$B67, $J31:$J67 * 0.22)</f>
        <v>1269840</v>
      </c>
      <c r="M31" s="8">
        <f t="shared" si="1"/>
        <v>3458000</v>
      </c>
      <c r="N31" s="8">
        <f t="shared" si="2"/>
        <v>8658000</v>
      </c>
      <c r="O31" s="14">
        <f t="shared" si="3"/>
        <v>3458000</v>
      </c>
    </row>
    <row r="32" spans="1:15" x14ac:dyDescent="0.25">
      <c r="A32" s="7">
        <v>31</v>
      </c>
      <c r="B32" s="4">
        <v>131</v>
      </c>
      <c r="C32" s="7" t="s">
        <v>11</v>
      </c>
      <c r="D32" s="7" t="s">
        <v>71</v>
      </c>
      <c r="E32" s="4" t="s">
        <v>70</v>
      </c>
      <c r="F32" s="7" t="s">
        <v>81</v>
      </c>
      <c r="G32" s="8">
        <f>_xlfn.XLOOKUP($B32,car_master!$B32:$B68,car_master!$I32:$I68)</f>
        <v>7000000</v>
      </c>
      <c r="H32" s="8">
        <f xml:space="preserve"> _xlfn.XLOOKUP(B32,car_master!$B32:$B68,car_master!$I32:$I68) * tax_parameters!$B$3</f>
        <v>700000</v>
      </c>
      <c r="I32" s="8" cm="1">
        <f t="array" ref="I32">_xlfn.XLOOKUP($B32,$B31:$B69,$H31:$H69 * tax_parameters!$C$3)</f>
        <v>70000</v>
      </c>
      <c r="J32" s="8">
        <f t="shared" si="0"/>
        <v>7770000</v>
      </c>
      <c r="K32" s="8" cm="1">
        <f t="array" ref="K32">_xlfn.XLOOKUP($B32, $B32:$B69, $J32:$J69 * 0.28)</f>
        <v>2175600</v>
      </c>
      <c r="L32" s="8" cm="1">
        <f t="array" ref="L32">_xlfn.XLOOKUP($B32, $B32:$B68, $J32:$J68 * 0.22)</f>
        <v>1709400</v>
      </c>
      <c r="M32" s="8">
        <f t="shared" si="1"/>
        <v>4655000</v>
      </c>
      <c r="N32" s="8">
        <f t="shared" si="2"/>
        <v>11655000</v>
      </c>
      <c r="O32" s="14">
        <f t="shared" si="3"/>
        <v>4655000</v>
      </c>
    </row>
    <row r="33" spans="1:15" x14ac:dyDescent="0.25">
      <c r="A33" s="7">
        <v>32</v>
      </c>
      <c r="B33" s="4">
        <v>132</v>
      </c>
      <c r="C33" s="7" t="s">
        <v>72</v>
      </c>
      <c r="D33" s="7" t="s">
        <v>73</v>
      </c>
      <c r="E33" s="4" t="s">
        <v>74</v>
      </c>
      <c r="F33" s="7" t="s">
        <v>81</v>
      </c>
      <c r="G33" s="8">
        <f>_xlfn.XLOOKUP($B33,car_master!$B33:$B69,car_master!$I33:$I69)</f>
        <v>1000000</v>
      </c>
      <c r="H33" s="8">
        <f xml:space="preserve"> _xlfn.XLOOKUP(B33,car_master!$B33:$B69,car_master!$I33:$I69) * tax_parameters!$B$3</f>
        <v>100000</v>
      </c>
      <c r="I33" s="8" cm="1">
        <f t="array" ref="I33">_xlfn.XLOOKUP($B33,$B32:$B70,$H32:$H70 * tax_parameters!$C$3)</f>
        <v>10000</v>
      </c>
      <c r="J33" s="8">
        <f t="shared" si="0"/>
        <v>1110000</v>
      </c>
      <c r="K33" s="8" cm="1">
        <f t="array" ref="K33">_xlfn.XLOOKUP($B33, $B33:$B70, $J33:$J70 * 0.28)</f>
        <v>310800.00000000006</v>
      </c>
      <c r="L33" s="8" cm="1">
        <f t="array" ref="L33">_xlfn.XLOOKUP($B33, $B33:$B69, $J33:$J69 * 0.22)</f>
        <v>244200</v>
      </c>
      <c r="M33" s="8">
        <f t="shared" si="1"/>
        <v>665000</v>
      </c>
      <c r="N33" s="8">
        <f t="shared" si="2"/>
        <v>1665000</v>
      </c>
      <c r="O33" s="14">
        <f t="shared" si="3"/>
        <v>665000</v>
      </c>
    </row>
    <row r="34" spans="1:15" x14ac:dyDescent="0.25">
      <c r="A34" s="7">
        <v>33</v>
      </c>
      <c r="B34" s="4">
        <v>133</v>
      </c>
      <c r="C34" s="7" t="s">
        <v>72</v>
      </c>
      <c r="D34" s="7" t="s">
        <v>73</v>
      </c>
      <c r="E34" s="4" t="s">
        <v>75</v>
      </c>
      <c r="F34" s="7" t="s">
        <v>81</v>
      </c>
      <c r="G34" s="8">
        <f>_xlfn.XLOOKUP($B34,car_master!$B34:$B70,car_master!$I34:$I70)</f>
        <v>1400000</v>
      </c>
      <c r="H34" s="8">
        <f xml:space="preserve"> _xlfn.XLOOKUP(B34,car_master!$B34:$B70,car_master!$I34:$I70) * tax_parameters!$B$3</f>
        <v>140000</v>
      </c>
      <c r="I34" s="8" cm="1">
        <f t="array" ref="I34">_xlfn.XLOOKUP($B34,$B33:$B71,$H33:$H71 * tax_parameters!$C$3)</f>
        <v>14000</v>
      </c>
      <c r="J34" s="8">
        <f t="shared" si="0"/>
        <v>1554000</v>
      </c>
      <c r="K34" s="8" cm="1">
        <f t="array" ref="K34">_xlfn.XLOOKUP($B34, $B34:$B71, $J34:$J71 * 0.28)</f>
        <v>435120.00000000006</v>
      </c>
      <c r="L34" s="8" cm="1">
        <f t="array" ref="L34">_xlfn.XLOOKUP($B34, $B34:$B70, $J34:$J70 * 0.22)</f>
        <v>341880</v>
      </c>
      <c r="M34" s="8">
        <f t="shared" si="1"/>
        <v>931000</v>
      </c>
      <c r="N34" s="8">
        <f t="shared" si="2"/>
        <v>2331000</v>
      </c>
      <c r="O34" s="14">
        <f t="shared" si="3"/>
        <v>931000</v>
      </c>
    </row>
    <row r="35" spans="1:15" x14ac:dyDescent="0.25">
      <c r="A35" s="7">
        <v>34</v>
      </c>
      <c r="B35" s="4">
        <v>134</v>
      </c>
      <c r="C35" s="7" t="s">
        <v>72</v>
      </c>
      <c r="D35" s="7" t="s">
        <v>76</v>
      </c>
      <c r="E35" s="4" t="s">
        <v>74</v>
      </c>
      <c r="F35" s="7" t="s">
        <v>81</v>
      </c>
      <c r="G35" s="8">
        <f>_xlfn.XLOOKUP($B35,car_master!$B35:$B71,car_master!$I35:$I71)</f>
        <v>1100000</v>
      </c>
      <c r="H35" s="8">
        <f xml:space="preserve"> _xlfn.XLOOKUP(B35,car_master!$B35:$B71,car_master!$I35:$I71) * tax_parameters!$B$3</f>
        <v>110000</v>
      </c>
      <c r="I35" s="8" cm="1">
        <f t="array" ref="I35">_xlfn.XLOOKUP($B35,$B34:$B72,$H34:$H72 * tax_parameters!$C$3)</f>
        <v>11000</v>
      </c>
      <c r="J35" s="8">
        <f t="shared" si="0"/>
        <v>1221000</v>
      </c>
      <c r="K35" s="8" cm="1">
        <f t="array" ref="K35">_xlfn.XLOOKUP($B35, $B35:$B72, $J35:$J72 * 0.28)</f>
        <v>341880.00000000006</v>
      </c>
      <c r="L35" s="8" cm="1">
        <f t="array" ref="L35">_xlfn.XLOOKUP($B35, $B35:$B71, $J35:$J71 * 0.22)</f>
        <v>268620</v>
      </c>
      <c r="M35" s="8">
        <f t="shared" si="1"/>
        <v>731500</v>
      </c>
      <c r="N35" s="8">
        <f t="shared" si="2"/>
        <v>1831500</v>
      </c>
      <c r="O35" s="14">
        <f t="shared" si="3"/>
        <v>731500</v>
      </c>
    </row>
    <row r="36" spans="1:15" x14ac:dyDescent="0.25">
      <c r="A36" s="7">
        <v>35</v>
      </c>
      <c r="B36" s="4">
        <v>135</v>
      </c>
      <c r="C36" s="7" t="s">
        <v>72</v>
      </c>
      <c r="D36" s="7" t="s">
        <v>76</v>
      </c>
      <c r="E36" s="4" t="s">
        <v>75</v>
      </c>
      <c r="F36" s="7" t="s">
        <v>81</v>
      </c>
      <c r="G36" s="8">
        <f>_xlfn.XLOOKUP($B36,car_master!$B36:$B72,car_master!$I36:$I72)</f>
        <v>1500000</v>
      </c>
      <c r="H36" s="8">
        <f xml:space="preserve"> _xlfn.XLOOKUP(B36,car_master!$B36:$B72,car_master!$I36:$I72) * tax_parameters!$B$3</f>
        <v>150000</v>
      </c>
      <c r="I36" s="8" cm="1">
        <f t="array" ref="I36">_xlfn.XLOOKUP($B36,$B35:$B73,$H35:$H73 * tax_parameters!$C$3)</f>
        <v>15000</v>
      </c>
      <c r="J36" s="8">
        <f t="shared" si="0"/>
        <v>1665000</v>
      </c>
      <c r="K36" s="8" cm="1">
        <f t="array" ref="K36">_xlfn.XLOOKUP($B36, $B36:$B73, $J36:$J73 * 0.28)</f>
        <v>466200.00000000006</v>
      </c>
      <c r="L36" s="8" cm="1">
        <f t="array" ref="L36">_xlfn.XLOOKUP($B36, $B36:$B72, $J36:$J72 * 0.22)</f>
        <v>366300</v>
      </c>
      <c r="M36" s="8">
        <f t="shared" si="1"/>
        <v>997500</v>
      </c>
      <c r="N36" s="8">
        <f t="shared" si="2"/>
        <v>2497500</v>
      </c>
      <c r="O36" s="14">
        <f t="shared" si="3"/>
        <v>997500</v>
      </c>
    </row>
    <row r="37" spans="1:15" x14ac:dyDescent="0.25">
      <c r="A37" s="7">
        <v>36</v>
      </c>
      <c r="B37" s="4">
        <v>136</v>
      </c>
      <c r="C37" s="7" t="s">
        <v>72</v>
      </c>
      <c r="D37" s="7" t="s">
        <v>77</v>
      </c>
      <c r="E37" s="4" t="s">
        <v>78</v>
      </c>
      <c r="F37" s="7" t="s">
        <v>81</v>
      </c>
      <c r="G37" s="8">
        <f>_xlfn.XLOOKUP($B37,car_master!$B37:$B73,car_master!$I37:$I73)</f>
        <v>4300000</v>
      </c>
      <c r="H37" s="8">
        <f xml:space="preserve"> _xlfn.XLOOKUP(B37,car_master!$B37:$B73,car_master!$I37:$I73) * tax_parameters!$B$3</f>
        <v>430000</v>
      </c>
      <c r="I37" s="8" cm="1">
        <f t="array" ref="I37">_xlfn.XLOOKUP($B37,$B36:$B74,$H36:$H74 * tax_parameters!$C$3)</f>
        <v>43000</v>
      </c>
      <c r="J37" s="8">
        <f t="shared" si="0"/>
        <v>4773000</v>
      </c>
      <c r="K37" s="8" cm="1">
        <f t="array" ref="K37">_xlfn.XLOOKUP($B37, $B37:$B74, $J37:$J74 * 0.28)</f>
        <v>1336440.0000000002</v>
      </c>
      <c r="L37" s="8" cm="1">
        <f t="array" ref="L37">_xlfn.XLOOKUP($B37, $B37:$B73, $J37:$J73 * 0.22)</f>
        <v>1050060</v>
      </c>
      <c r="M37" s="8">
        <f t="shared" si="1"/>
        <v>2859500</v>
      </c>
      <c r="N37" s="8">
        <f t="shared" si="2"/>
        <v>7159500</v>
      </c>
      <c r="O37" s="14">
        <f t="shared" si="3"/>
        <v>2859500</v>
      </c>
    </row>
    <row r="38" spans="1:15" x14ac:dyDescent="0.25">
      <c r="A38" s="7">
        <v>37</v>
      </c>
      <c r="B38" s="4">
        <v>137</v>
      </c>
      <c r="C38" s="7" t="s">
        <v>72</v>
      </c>
      <c r="D38" s="7" t="s">
        <v>79</v>
      </c>
      <c r="E38" s="4" t="s">
        <v>78</v>
      </c>
      <c r="F38" s="7" t="s">
        <v>81</v>
      </c>
      <c r="G38" s="8">
        <f>_xlfn.XLOOKUP($B38,car_master!$B38:$B74,car_master!$I38:$I74)</f>
        <v>3000000</v>
      </c>
      <c r="H38" s="8">
        <f xml:space="preserve"> _xlfn.XLOOKUP(B38,car_master!$B38:$B74,car_master!$I38:$I74) * tax_parameters!$B$3</f>
        <v>300000</v>
      </c>
      <c r="I38" s="8" cm="1">
        <f t="array" ref="I38">_xlfn.XLOOKUP($B38,$B37:$B75,$H37:$H75 * tax_parameters!$C$3)</f>
        <v>30000</v>
      </c>
      <c r="J38" s="8">
        <f t="shared" si="0"/>
        <v>3330000</v>
      </c>
      <c r="K38" s="8" cm="1">
        <f t="array" ref="K38">_xlfn.XLOOKUP($B38, $B38:$B75, $J38:$J75 * 0.28)</f>
        <v>932400.00000000012</v>
      </c>
      <c r="L38" s="8" cm="1">
        <f t="array" ref="L38">_xlfn.XLOOKUP($B38, $B38:$B74, $J38:$J74 * 0.22)</f>
        <v>732600</v>
      </c>
      <c r="M38" s="8">
        <f t="shared" si="1"/>
        <v>1995000</v>
      </c>
      <c r="N38" s="8">
        <f t="shared" si="2"/>
        <v>4995000</v>
      </c>
      <c r="O38" s="14">
        <f t="shared" si="3"/>
        <v>1995000</v>
      </c>
    </row>
    <row r="39" spans="1:15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9" t="str">
        <f>IF(
  F40="with_FTA",
  SUMIFS(
    import_cost_model!L:L,
    import_cost_model!A:A, A40,
    import_cost_model!E:E, "no_FTA"
  ) - M40,
  ""
)</f>
        <v/>
      </c>
    </row>
    <row r="40" spans="1:15" x14ac:dyDescent="0.25">
      <c r="A40" s="7">
        <v>38</v>
      </c>
      <c r="B40" s="4">
        <v>138</v>
      </c>
      <c r="C40" s="7" t="s">
        <v>3</v>
      </c>
      <c r="D40" s="7" t="s">
        <v>29</v>
      </c>
      <c r="E40" s="4" t="s">
        <v>34</v>
      </c>
      <c r="F40" s="7" t="s">
        <v>80</v>
      </c>
      <c r="G40" s="8">
        <f>_xlfn.XLOOKUP($B2,car_master!$B2:$B38,car_master!$I2:$I38)</f>
        <v>3800000</v>
      </c>
      <c r="H40" s="8">
        <f xml:space="preserve"> _xlfn.XLOOKUP(B2,car_master!$B2:$B38,car_master!$I2:$I38) * tax_parameters!$B$2</f>
        <v>2660000</v>
      </c>
      <c r="I40" s="8" cm="1">
        <f t="array" ref="I40">_xlfn.XLOOKUP($B40,$B$40:$B$76,$H$40:$H$76 * tax_parameters!$C$2)</f>
        <v>266000</v>
      </c>
      <c r="J40" s="8">
        <f>G40 + H40 + I40</f>
        <v>6726000</v>
      </c>
      <c r="K40" s="8" cm="1">
        <f t="array" ref="K40">_xlfn.XLOOKUP($B40,$B40:$B76,$J40:$J76 * tax_parameters!$D$2)</f>
        <v>1883280.0000000002</v>
      </c>
      <c r="L40" s="8" cm="1">
        <f t="array" ref="L40">_xlfn.XLOOKUP($B40, $B40:$B76, $J40:$J76 * 0.22)</f>
        <v>1479720</v>
      </c>
      <c r="M40" s="8">
        <f xml:space="preserve"> H40 + I40 + K40+ L40</f>
        <v>6289000</v>
      </c>
      <c r="N40" s="8">
        <f xml:space="preserve"> G40 + M40</f>
        <v>10089000</v>
      </c>
      <c r="O40" s="9" t="str">
        <f>IF(
  F41="with_FTA",
  SUMIFS(
    import_cost_model!L:L,
    import_cost_model!A:A, A41,
    import_cost_model!E:E, "no_FTA"
  ) - M41,
  ""
)</f>
        <v/>
      </c>
    </row>
    <row r="41" spans="1:15" x14ac:dyDescent="0.25">
      <c r="A41" s="7">
        <v>39</v>
      </c>
      <c r="B41" s="4">
        <v>139</v>
      </c>
      <c r="C41" s="7" t="s">
        <v>3</v>
      </c>
      <c r="D41" s="7" t="s">
        <v>29</v>
      </c>
      <c r="E41" s="4" t="s">
        <v>35</v>
      </c>
      <c r="F41" s="7" t="s">
        <v>80</v>
      </c>
      <c r="G41" s="8">
        <f>_xlfn.XLOOKUP($B3,car_master!$B3:$B39,car_master!$I3:$I39)</f>
        <v>4000000</v>
      </c>
      <c r="H41" s="8">
        <f xml:space="preserve"> _xlfn.XLOOKUP(B3,car_master!$B3:$B39,car_master!$I3:$I39) * tax_parameters!$B$2</f>
        <v>2800000</v>
      </c>
      <c r="I41" s="8" cm="1">
        <f t="array" ref="I41">_xlfn.XLOOKUP($B41,$B$40:$B$76,$H$40:$H$76 * tax_parameters!$C$2)</f>
        <v>280000</v>
      </c>
      <c r="J41" s="8">
        <f t="shared" ref="J41:J76" si="4">G41 + H41 + I41</f>
        <v>7080000</v>
      </c>
      <c r="K41" s="8" cm="1">
        <f t="array" ref="K41">_xlfn.XLOOKUP($B41,$B41:$B77,$J41:$J77 * tax_parameters!$D$2)</f>
        <v>1982400.0000000002</v>
      </c>
      <c r="L41" s="8" cm="1">
        <f t="array" ref="L41">_xlfn.XLOOKUP($B41, $B41:$B77, $J41:$J77 * 0.22)</f>
        <v>1557600</v>
      </c>
      <c r="M41" s="8">
        <f t="shared" ref="M41:M76" si="5" xml:space="preserve"> H41 + I41 + K41+ L41</f>
        <v>6620000</v>
      </c>
      <c r="N41" s="8">
        <f t="shared" ref="N41:N76" si="6" xml:space="preserve"> G41 + M41</f>
        <v>10620000</v>
      </c>
      <c r="O41" s="9" t="str">
        <f>IF(
  F42="with_FTA",
  SUMIFS(
    import_cost_model!L:L,
    import_cost_model!A:A, A42,
    import_cost_model!E:E, "no_FTA"
  ) - M42,
  ""
)</f>
        <v/>
      </c>
    </row>
    <row r="42" spans="1:15" x14ac:dyDescent="0.25">
      <c r="A42" s="7">
        <v>40</v>
      </c>
      <c r="B42" s="4">
        <v>140</v>
      </c>
      <c r="C42" s="7" t="s">
        <v>3</v>
      </c>
      <c r="D42" s="7" t="s">
        <v>4</v>
      </c>
      <c r="E42" s="4" t="s">
        <v>36</v>
      </c>
      <c r="F42" s="7" t="s">
        <v>80</v>
      </c>
      <c r="G42" s="8">
        <f>_xlfn.XLOOKUP($B4,car_master!$B4:$B40,car_master!$I4:$I40)</f>
        <v>5000000</v>
      </c>
      <c r="H42" s="8">
        <f xml:space="preserve"> _xlfn.XLOOKUP(B4,car_master!$B4:$B40,car_master!$I4:$I40) * tax_parameters!$B$2</f>
        <v>3500000</v>
      </c>
      <c r="I42" s="8" cm="1">
        <f t="array" ref="I42">_xlfn.XLOOKUP($B42,$B$40:$B$76,$H$40:$H$76 * tax_parameters!$C$2)</f>
        <v>350000</v>
      </c>
      <c r="J42" s="8">
        <f t="shared" si="4"/>
        <v>8850000</v>
      </c>
      <c r="K42" s="8" cm="1">
        <f t="array" ref="K42">_xlfn.XLOOKUP($B42,$B42:$B78,$J42:$J78 * tax_parameters!$D$2)</f>
        <v>2478000.0000000005</v>
      </c>
      <c r="L42" s="8" cm="1">
        <f t="array" ref="L42">_xlfn.XLOOKUP($B42, $B42:$B78, $J42:$J78 * 0.22)</f>
        <v>1947000</v>
      </c>
      <c r="M42" s="8">
        <f t="shared" si="5"/>
        <v>8275000</v>
      </c>
      <c r="N42" s="8">
        <f t="shared" si="6"/>
        <v>13275000</v>
      </c>
      <c r="O42" s="9" t="str">
        <f>IF(
  F43="with_FTA",
  SUMIFS(
    import_cost_model!L:L,
    import_cost_model!A:A, A43,
    import_cost_model!E:E, "no_FTA"
  ) - M43,
  ""
)</f>
        <v/>
      </c>
    </row>
    <row r="43" spans="1:15" x14ac:dyDescent="0.25">
      <c r="A43" s="7">
        <v>41</v>
      </c>
      <c r="B43" s="4">
        <v>141</v>
      </c>
      <c r="C43" s="7" t="s">
        <v>3</v>
      </c>
      <c r="D43" s="7" t="s">
        <v>4</v>
      </c>
      <c r="E43" s="4" t="s">
        <v>37</v>
      </c>
      <c r="F43" s="7" t="s">
        <v>80</v>
      </c>
      <c r="G43" s="8">
        <f>_xlfn.XLOOKUP($B5,car_master!$B5:$B41,car_master!$I5:$I41)</f>
        <v>5400000</v>
      </c>
      <c r="H43" s="8">
        <f xml:space="preserve"> _xlfn.XLOOKUP(B5,car_master!$B5:$B41,car_master!$I5:$I41) * tax_parameters!$B$2</f>
        <v>3779999.9999999995</v>
      </c>
      <c r="I43" s="8" cm="1">
        <f t="array" ref="I43">_xlfn.XLOOKUP($B43,$B$40:$B$76,$H$40:$H$76 * tax_parameters!$C$2)</f>
        <v>378000</v>
      </c>
      <c r="J43" s="8">
        <f t="shared" si="4"/>
        <v>9558000</v>
      </c>
      <c r="K43" s="8" cm="1">
        <f t="array" ref="K43">_xlfn.XLOOKUP($B43,$B43:$B79,$J43:$J79 * tax_parameters!$D$2)</f>
        <v>2676240.0000000005</v>
      </c>
      <c r="L43" s="8" cm="1">
        <f t="array" ref="L43">_xlfn.XLOOKUP($B43, $B43:$B79, $J43:$J79 * 0.22)</f>
        <v>2102760</v>
      </c>
      <c r="M43" s="8">
        <f t="shared" si="5"/>
        <v>8937000</v>
      </c>
      <c r="N43" s="8">
        <f t="shared" si="6"/>
        <v>14337000</v>
      </c>
      <c r="O43" s="9" t="str">
        <f>IF(
  F44="with_FTA",
  SUMIFS(
    import_cost_model!L:L,
    import_cost_model!A:A, A44,
    import_cost_model!E:E, "no_FTA"
  ) - M44,
  ""
)</f>
        <v/>
      </c>
    </row>
    <row r="44" spans="1:15" x14ac:dyDescent="0.25">
      <c r="A44" s="7">
        <v>42</v>
      </c>
      <c r="B44" s="4">
        <v>142</v>
      </c>
      <c r="C44" s="7" t="s">
        <v>3</v>
      </c>
      <c r="D44" s="7" t="s">
        <v>6</v>
      </c>
      <c r="E44" s="4" t="s">
        <v>38</v>
      </c>
      <c r="F44" s="7" t="s">
        <v>80</v>
      </c>
      <c r="G44" s="8">
        <f>_xlfn.XLOOKUP($B6,car_master!$B6:$B42,car_master!$I6:$I42)</f>
        <v>6500000</v>
      </c>
      <c r="H44" s="8">
        <f xml:space="preserve"> _xlfn.XLOOKUP(B6,car_master!$B6:$B42,car_master!$I6:$I42) * tax_parameters!$B$2</f>
        <v>4550000</v>
      </c>
      <c r="I44" s="8" cm="1">
        <f t="array" ref="I44">_xlfn.XLOOKUP($B44,$B$40:$B$76,$H$40:$H$76 * tax_parameters!$C$2)</f>
        <v>455000</v>
      </c>
      <c r="J44" s="8">
        <f t="shared" si="4"/>
        <v>11505000</v>
      </c>
      <c r="K44" s="8" cm="1">
        <f t="array" ref="K44">_xlfn.XLOOKUP($B44,$B44:$B80,$J44:$J80 * tax_parameters!$D$2)</f>
        <v>3221400.0000000005</v>
      </c>
      <c r="L44" s="8" cm="1">
        <f t="array" ref="L44">_xlfn.XLOOKUP($B44, $B44:$B80, $J44:$J80 * 0.22)</f>
        <v>2531100</v>
      </c>
      <c r="M44" s="8">
        <f t="shared" si="5"/>
        <v>10757500</v>
      </c>
      <c r="N44" s="8">
        <f t="shared" si="6"/>
        <v>17257500</v>
      </c>
      <c r="O44" s="9" t="str">
        <f>IF(
  F45="with_FTA",
  SUMIFS(
    import_cost_model!L:L,
    import_cost_model!A:A, A45,
    import_cost_model!E:E, "no_FTA"
  ) - M45,
  ""
)</f>
        <v/>
      </c>
    </row>
    <row r="45" spans="1:15" x14ac:dyDescent="0.25">
      <c r="A45" s="7">
        <v>43</v>
      </c>
      <c r="B45" s="4">
        <v>143</v>
      </c>
      <c r="C45" s="7" t="s">
        <v>3</v>
      </c>
      <c r="D45" s="7" t="s">
        <v>6</v>
      </c>
      <c r="E45" s="4" t="s">
        <v>39</v>
      </c>
      <c r="F45" s="7" t="s">
        <v>80</v>
      </c>
      <c r="G45" s="8">
        <f>_xlfn.XLOOKUP($B7,car_master!$B7:$B43,car_master!$I7:$I43)</f>
        <v>6800000</v>
      </c>
      <c r="H45" s="8">
        <f xml:space="preserve"> _xlfn.XLOOKUP(B7,car_master!$B7:$B43,car_master!$I7:$I43) * tax_parameters!$B$2</f>
        <v>4760000</v>
      </c>
      <c r="I45" s="8" cm="1">
        <f t="array" ref="I45">_xlfn.XLOOKUP($B45,$B$40:$B$76,$H$40:$H$76 * tax_parameters!$C$2)</f>
        <v>476000</v>
      </c>
      <c r="J45" s="8">
        <f t="shared" si="4"/>
        <v>12036000</v>
      </c>
      <c r="K45" s="8" cm="1">
        <f t="array" ref="K45">_xlfn.XLOOKUP($B45,$B45:$B81,$J45:$J81 * tax_parameters!$D$2)</f>
        <v>3370080.0000000005</v>
      </c>
      <c r="L45" s="8" cm="1">
        <f t="array" ref="L45">_xlfn.XLOOKUP($B45, $B45:$B81, $J45:$J81 * 0.22)</f>
        <v>2647920</v>
      </c>
      <c r="M45" s="8">
        <f t="shared" si="5"/>
        <v>11254000</v>
      </c>
      <c r="N45" s="8">
        <f t="shared" si="6"/>
        <v>18054000</v>
      </c>
      <c r="O45" s="9" t="str">
        <f>IF(
  F46="with_FTA",
  SUMIFS(
    import_cost_model!L:L,
    import_cost_model!A:A, A46,
    import_cost_model!E:E, "no_FTA"
  ) - M46,
  ""
)</f>
        <v/>
      </c>
    </row>
    <row r="46" spans="1:15" x14ac:dyDescent="0.25">
      <c r="A46" s="7">
        <v>44</v>
      </c>
      <c r="B46" s="4">
        <v>144</v>
      </c>
      <c r="C46" s="7" t="s">
        <v>3</v>
      </c>
      <c r="D46" s="7" t="s">
        <v>30</v>
      </c>
      <c r="E46" s="4">
        <v>220</v>
      </c>
      <c r="F46" s="7" t="s">
        <v>80</v>
      </c>
      <c r="G46" s="8">
        <f>_xlfn.XLOOKUP($B8,car_master!$B8:$B44,car_master!$I8:$I44)</f>
        <v>4200000</v>
      </c>
      <c r="H46" s="8">
        <f xml:space="preserve"> _xlfn.XLOOKUP(B8,car_master!$B8:$B44,car_master!$I8:$I44) * tax_parameters!$B$2</f>
        <v>2940000</v>
      </c>
      <c r="I46" s="8" cm="1">
        <f t="array" ref="I46">_xlfn.XLOOKUP($B46,$B$40:$B$76,$H$40:$H$76 * tax_parameters!$C$2)</f>
        <v>294000</v>
      </c>
      <c r="J46" s="8">
        <f t="shared" si="4"/>
        <v>7434000</v>
      </c>
      <c r="K46" s="8" cm="1">
        <f t="array" ref="K46">_xlfn.XLOOKUP($B46,$B46:$B82,$J46:$J82 * tax_parameters!$D$2)</f>
        <v>2081520.0000000002</v>
      </c>
      <c r="L46" s="8" cm="1">
        <f t="array" ref="L46">_xlfn.XLOOKUP($B46, $B46:$B82, $J46:$J82 * 0.22)</f>
        <v>1635480</v>
      </c>
      <c r="M46" s="8">
        <f t="shared" si="5"/>
        <v>6951000</v>
      </c>
      <c r="N46" s="8">
        <f t="shared" si="6"/>
        <v>11151000</v>
      </c>
      <c r="O46" s="9" t="str">
        <f>IF(
  F47="with_FTA",
  SUMIFS(
    import_cost_model!L:L,
    import_cost_model!A:A, A47,
    import_cost_model!E:E, "no_FTA"
  ) - M47,
  ""
)</f>
        <v/>
      </c>
    </row>
    <row r="47" spans="1:15" x14ac:dyDescent="0.25">
      <c r="A47" s="7">
        <v>45</v>
      </c>
      <c r="B47" s="4">
        <v>145</v>
      </c>
      <c r="C47" s="7" t="s">
        <v>3</v>
      </c>
      <c r="D47" s="7" t="s">
        <v>30</v>
      </c>
      <c r="E47" s="4" t="s">
        <v>40</v>
      </c>
      <c r="F47" s="7" t="s">
        <v>80</v>
      </c>
      <c r="G47" s="8">
        <f>_xlfn.XLOOKUP($B9,car_master!$B9:$B45,car_master!$I9:$I45)</f>
        <v>4400000</v>
      </c>
      <c r="H47" s="8">
        <f xml:space="preserve"> _xlfn.XLOOKUP(B9,car_master!$B9:$B45,car_master!$I9:$I45) * tax_parameters!$B$2</f>
        <v>3080000</v>
      </c>
      <c r="I47" s="8" cm="1">
        <f t="array" ref="I47">_xlfn.XLOOKUP($B47,$B$40:$B$76,$H$40:$H$76 * tax_parameters!$C$2)</f>
        <v>308000</v>
      </c>
      <c r="J47" s="8">
        <f t="shared" si="4"/>
        <v>7788000</v>
      </c>
      <c r="K47" s="8" cm="1">
        <f t="array" ref="K47">_xlfn.XLOOKUP($B47,$B47:$B83,$J47:$J83 * tax_parameters!$D$2)</f>
        <v>2180640</v>
      </c>
      <c r="L47" s="8" cm="1">
        <f t="array" ref="L47">_xlfn.XLOOKUP($B47, $B47:$B83, $J47:$J83 * 0.22)</f>
        <v>1713360</v>
      </c>
      <c r="M47" s="8">
        <f t="shared" si="5"/>
        <v>7282000</v>
      </c>
      <c r="N47" s="8">
        <f t="shared" si="6"/>
        <v>11682000</v>
      </c>
      <c r="O47" s="9" t="str">
        <f>IF(
  F48="with_FTA",
  SUMIFS(
    import_cost_model!L:L,
    import_cost_model!A:A, A48,
    import_cost_model!E:E, "no_FTA"
  ) - M48,
  ""
)</f>
        <v/>
      </c>
    </row>
    <row r="48" spans="1:15" ht="16.5" customHeight="1" x14ac:dyDescent="0.25">
      <c r="A48" s="7">
        <v>46</v>
      </c>
      <c r="B48" s="4">
        <v>146</v>
      </c>
      <c r="C48" s="7" t="s">
        <v>3</v>
      </c>
      <c r="D48" s="7" t="s">
        <v>31</v>
      </c>
      <c r="E48" s="4">
        <v>300</v>
      </c>
      <c r="F48" s="7" t="s">
        <v>80</v>
      </c>
      <c r="G48" s="8">
        <f>_xlfn.XLOOKUP($B10,car_master!$B10:$B46,car_master!$I10:$I46)</f>
        <v>6200000</v>
      </c>
      <c r="H48" s="8">
        <f xml:space="preserve"> _xlfn.XLOOKUP(B10,car_master!$B10:$B46,car_master!$I10:$I46) * tax_parameters!$B$2</f>
        <v>4340000</v>
      </c>
      <c r="I48" s="8" cm="1">
        <f t="array" ref="I48">_xlfn.XLOOKUP($B48,$B$40:$B$76,$H$40:$H$76 * tax_parameters!$C$2)</f>
        <v>434000</v>
      </c>
      <c r="J48" s="8">
        <f t="shared" si="4"/>
        <v>10974000</v>
      </c>
      <c r="K48" s="8" cm="1">
        <f t="array" ref="K48">_xlfn.XLOOKUP($B48,$B48:$B84,$J48:$J84 * tax_parameters!$D$2)</f>
        <v>3072720.0000000005</v>
      </c>
      <c r="L48" s="8" cm="1">
        <f t="array" ref="L48">_xlfn.XLOOKUP($B48, $B48:$B84, $J48:$J84 * 0.22)</f>
        <v>2414280</v>
      </c>
      <c r="M48" s="8">
        <f t="shared" si="5"/>
        <v>10261000</v>
      </c>
      <c r="N48" s="8">
        <f t="shared" si="6"/>
        <v>16461000</v>
      </c>
      <c r="O48" s="9" t="str">
        <f>IF(
  F49="with_FTA",
  SUMIFS(
    import_cost_model!L:L,
    import_cost_model!A:A, A49,
    import_cost_model!E:E, "no_FTA"
  ) - M49,
  ""
)</f>
        <v/>
      </c>
    </row>
    <row r="49" spans="1:15" x14ac:dyDescent="0.25">
      <c r="A49" s="7">
        <v>47</v>
      </c>
      <c r="B49" s="4">
        <v>147</v>
      </c>
      <c r="C49" s="7" t="s">
        <v>3</v>
      </c>
      <c r="D49" s="7" t="s">
        <v>31</v>
      </c>
      <c r="E49" s="4" t="s">
        <v>40</v>
      </c>
      <c r="F49" s="7" t="s">
        <v>80</v>
      </c>
      <c r="G49" s="8">
        <f>_xlfn.XLOOKUP($B11,car_master!$B11:$B47,car_master!$I11:$I47)</f>
        <v>6500000</v>
      </c>
      <c r="H49" s="8">
        <f xml:space="preserve"> _xlfn.XLOOKUP(B11,car_master!$B11:$B47,car_master!$I11:$I47) * tax_parameters!$B$2</f>
        <v>4550000</v>
      </c>
      <c r="I49" s="8" cm="1">
        <f t="array" ref="I49">_xlfn.XLOOKUP($B49,$B$40:$B$76,$H$40:$H$76 * tax_parameters!$C$2)</f>
        <v>455000</v>
      </c>
      <c r="J49" s="8">
        <f t="shared" si="4"/>
        <v>11505000</v>
      </c>
      <c r="K49" s="8" cm="1">
        <f t="array" ref="K49">_xlfn.XLOOKUP($B49,$B49:$B85,$J49:$J85 * tax_parameters!$D$2)</f>
        <v>3221400.0000000005</v>
      </c>
      <c r="L49" s="8" cm="1">
        <f t="array" ref="L49">_xlfn.XLOOKUP($B49, $B49:$B85, $J49:$J85 * 0.22)</f>
        <v>2531100</v>
      </c>
      <c r="M49" s="8">
        <f t="shared" si="5"/>
        <v>10757500</v>
      </c>
      <c r="N49" s="8">
        <f t="shared" si="6"/>
        <v>17257500</v>
      </c>
      <c r="O49" s="9" t="str">
        <f>IF(
  F50="with_FTA",
  SUMIFS(
    import_cost_model!L:L,
    import_cost_model!A:A, A50,
    import_cost_model!E:E, "no_FTA"
  ) - M50,
  ""
)</f>
        <v/>
      </c>
    </row>
    <row r="50" spans="1:15" x14ac:dyDescent="0.25">
      <c r="A50" s="7">
        <v>48</v>
      </c>
      <c r="B50" s="4">
        <v>148</v>
      </c>
      <c r="C50" s="7" t="s">
        <v>44</v>
      </c>
      <c r="D50" s="7" t="s">
        <v>45</v>
      </c>
      <c r="E50" s="4" t="s">
        <v>46</v>
      </c>
      <c r="F50" s="7" t="s">
        <v>80</v>
      </c>
      <c r="G50" s="8">
        <f>_xlfn.XLOOKUP($B12,car_master!$B12:$B48,car_master!$I12:$I48)</f>
        <v>900000</v>
      </c>
      <c r="H50" s="8">
        <f xml:space="preserve"> _xlfn.XLOOKUP(B12,car_master!$B12:$B48,car_master!$I12:$I48) * tax_parameters!$B$2</f>
        <v>630000</v>
      </c>
      <c r="I50" s="8" cm="1">
        <f t="array" ref="I50">_xlfn.XLOOKUP($B50,$B$40:$B$76,$H$40:$H$76 * tax_parameters!$C$2)</f>
        <v>63000</v>
      </c>
      <c r="J50" s="8">
        <f t="shared" si="4"/>
        <v>1593000</v>
      </c>
      <c r="K50" s="8" cm="1">
        <f t="array" ref="K50">_xlfn.XLOOKUP($B50,$B50:$B86,$J50:$J86 * tax_parameters!$D$2)</f>
        <v>446040.00000000006</v>
      </c>
      <c r="L50" s="8" cm="1">
        <f t="array" ref="L50">_xlfn.XLOOKUP($B50, $B50:$B86, $J50:$J86 * 0.22)</f>
        <v>350460</v>
      </c>
      <c r="M50" s="8">
        <f t="shared" si="5"/>
        <v>1489500</v>
      </c>
      <c r="N50" s="8">
        <f t="shared" si="6"/>
        <v>2389500</v>
      </c>
      <c r="O50" s="9" t="str">
        <f>IF(
  F51="with_FTA",
  SUMIFS(
    import_cost_model!L:L,
    import_cost_model!A:A, A51,
    import_cost_model!E:E, "no_FTA"
  ) - M51,
  ""
)</f>
        <v/>
      </c>
    </row>
    <row r="51" spans="1:15" x14ac:dyDescent="0.25">
      <c r="A51" s="7">
        <v>49</v>
      </c>
      <c r="B51" s="4">
        <v>149</v>
      </c>
      <c r="C51" s="7" t="s">
        <v>44</v>
      </c>
      <c r="D51" s="7" t="s">
        <v>45</v>
      </c>
      <c r="E51" s="4" t="s">
        <v>47</v>
      </c>
      <c r="F51" s="7" t="s">
        <v>80</v>
      </c>
      <c r="G51" s="8">
        <f>_xlfn.XLOOKUP($B13,car_master!$B13:$B49,car_master!$I13:$I49)</f>
        <v>1050000</v>
      </c>
      <c r="H51" s="8">
        <f xml:space="preserve"> _xlfn.XLOOKUP(B13,car_master!$B13:$B49,car_master!$I13:$I49) * tax_parameters!$B$2</f>
        <v>735000</v>
      </c>
      <c r="I51" s="8" cm="1">
        <f t="array" ref="I51">_xlfn.XLOOKUP($B51,$B$40:$B$76,$H$40:$H$76 * tax_parameters!$C$2)</f>
        <v>73500</v>
      </c>
      <c r="J51" s="8">
        <f t="shared" si="4"/>
        <v>1858500</v>
      </c>
      <c r="K51" s="8" cm="1">
        <f t="array" ref="K51">_xlfn.XLOOKUP($B51,$B51:$B87,$J51:$J87 * tax_parameters!$D$2)</f>
        <v>520380.00000000006</v>
      </c>
      <c r="L51" s="8" cm="1">
        <f t="array" ref="L51">_xlfn.XLOOKUP($B51, $B51:$B87, $J51:$J87 * 0.22)</f>
        <v>408870</v>
      </c>
      <c r="M51" s="8">
        <f t="shared" si="5"/>
        <v>1737750</v>
      </c>
      <c r="N51" s="8">
        <f t="shared" si="6"/>
        <v>2787750</v>
      </c>
      <c r="O51" s="9" t="str">
        <f>IF(
  F52="with_FTA",
  SUMIFS(
    import_cost_model!L:L,
    import_cost_model!A:A, A52,
    import_cost_model!E:E, "no_FTA"
  ) - M52,
  ""
)</f>
        <v/>
      </c>
    </row>
    <row r="52" spans="1:15" x14ac:dyDescent="0.25">
      <c r="A52" s="7">
        <v>50</v>
      </c>
      <c r="B52" s="4">
        <v>150</v>
      </c>
      <c r="C52" s="7" t="s">
        <v>44</v>
      </c>
      <c r="D52" s="7" t="s">
        <v>45</v>
      </c>
      <c r="E52" s="4" t="s">
        <v>48</v>
      </c>
      <c r="F52" s="7" t="s">
        <v>80</v>
      </c>
      <c r="G52" s="8">
        <f>_xlfn.XLOOKUP($B14,car_master!$B14:$B50,car_master!$I14:$I50)</f>
        <v>1500000</v>
      </c>
      <c r="H52" s="8">
        <f xml:space="preserve"> _xlfn.XLOOKUP(B14,car_master!$B14:$B50,car_master!$I14:$I50) * tax_parameters!$B$2</f>
        <v>1050000</v>
      </c>
      <c r="I52" s="8" cm="1">
        <f t="array" ref="I52">_xlfn.XLOOKUP($B52,$B$40:$B$76,$H$40:$H$76 * tax_parameters!$C$2)</f>
        <v>105000</v>
      </c>
      <c r="J52" s="8">
        <f t="shared" si="4"/>
        <v>2655000</v>
      </c>
      <c r="K52" s="8" cm="1">
        <f t="array" ref="K52">_xlfn.XLOOKUP($B52,$B52:$B88,$J52:$J88 * tax_parameters!$D$2)</f>
        <v>743400.00000000012</v>
      </c>
      <c r="L52" s="8" cm="1">
        <f t="array" ref="L52">_xlfn.XLOOKUP($B52, $B52:$B88, $J52:$J88 * 0.22)</f>
        <v>584100</v>
      </c>
      <c r="M52" s="8">
        <f t="shared" si="5"/>
        <v>2482500</v>
      </c>
      <c r="N52" s="8">
        <f t="shared" si="6"/>
        <v>3982500</v>
      </c>
      <c r="O52" s="9" t="str">
        <f>IF(
  F53="with_FTA",
  SUMIFS(
    import_cost_model!L:L,
    import_cost_model!A:A, A53,
    import_cost_model!E:E, "no_FTA"
  ) - M53,
  ""
)</f>
        <v/>
      </c>
    </row>
    <row r="53" spans="1:15" x14ac:dyDescent="0.25">
      <c r="A53" s="7">
        <v>51</v>
      </c>
      <c r="B53" s="4">
        <v>151</v>
      </c>
      <c r="C53" s="7" t="s">
        <v>44</v>
      </c>
      <c r="D53" s="7" t="s">
        <v>49</v>
      </c>
      <c r="E53" s="4" t="s">
        <v>46</v>
      </c>
      <c r="F53" s="7" t="s">
        <v>80</v>
      </c>
      <c r="G53" s="8">
        <f>_xlfn.XLOOKUP($B15,car_master!$B15:$B51,car_master!$I15:$I51)</f>
        <v>950000</v>
      </c>
      <c r="H53" s="8">
        <f xml:space="preserve"> _xlfn.XLOOKUP(B15,car_master!$B15:$B51,car_master!$I15:$I51) * tax_parameters!$B$2</f>
        <v>665000</v>
      </c>
      <c r="I53" s="8" cm="1">
        <f t="array" ref="I53">_xlfn.XLOOKUP($B53,$B$40:$B$76,$H$40:$H$76 * tax_parameters!$C$2)</f>
        <v>66500</v>
      </c>
      <c r="J53" s="8">
        <f t="shared" si="4"/>
        <v>1681500</v>
      </c>
      <c r="K53" s="8" cm="1">
        <f t="array" ref="K53">_xlfn.XLOOKUP($B53,$B53:$B89,$J53:$J89 * tax_parameters!$D$2)</f>
        <v>470820.00000000006</v>
      </c>
      <c r="L53" s="8" cm="1">
        <f t="array" ref="L53">_xlfn.XLOOKUP($B53, $B53:$B89, $J53:$J89 * 0.22)</f>
        <v>369930</v>
      </c>
      <c r="M53" s="8">
        <f t="shared" si="5"/>
        <v>1572250</v>
      </c>
      <c r="N53" s="8">
        <f t="shared" si="6"/>
        <v>2522250</v>
      </c>
      <c r="O53" s="9" t="str">
        <f>IF(
  F54="with_FTA",
  SUMIFS(
    import_cost_model!L:L,
    import_cost_model!A:A, A54,
    import_cost_model!E:E, "no_FTA"
  ) - M54,
  ""
)</f>
        <v/>
      </c>
    </row>
    <row r="54" spans="1:15" x14ac:dyDescent="0.25">
      <c r="A54" s="7">
        <v>52</v>
      </c>
      <c r="B54" s="4">
        <v>152</v>
      </c>
      <c r="C54" s="7" t="s">
        <v>44</v>
      </c>
      <c r="D54" s="7" t="s">
        <v>49</v>
      </c>
      <c r="E54" s="4" t="s">
        <v>47</v>
      </c>
      <c r="F54" s="7" t="s">
        <v>80</v>
      </c>
      <c r="G54" s="8">
        <f>_xlfn.XLOOKUP($B16,car_master!$B16:$B52,car_master!$I16:$I52)</f>
        <v>1200000</v>
      </c>
      <c r="H54" s="8">
        <f xml:space="preserve"> _xlfn.XLOOKUP(B16,car_master!$B16:$B52,car_master!$I16:$I52) * tax_parameters!$B$2</f>
        <v>840000</v>
      </c>
      <c r="I54" s="8" cm="1">
        <f t="array" ref="I54">_xlfn.XLOOKUP($B54,$B$40:$B$76,$H$40:$H$76 * tax_parameters!$C$2)</f>
        <v>84000</v>
      </c>
      <c r="J54" s="8">
        <f t="shared" si="4"/>
        <v>2124000</v>
      </c>
      <c r="K54" s="8" cm="1">
        <f t="array" ref="K54">_xlfn.XLOOKUP($B54,$B54:$B90,$J54:$J90 * tax_parameters!$D$2)</f>
        <v>594720</v>
      </c>
      <c r="L54" s="8" cm="1">
        <f t="array" ref="L54">_xlfn.XLOOKUP($B54, $B54:$B90, $J54:$J90 * 0.22)</f>
        <v>467280</v>
      </c>
      <c r="M54" s="8">
        <f t="shared" si="5"/>
        <v>1986000</v>
      </c>
      <c r="N54" s="8">
        <f t="shared" si="6"/>
        <v>3186000</v>
      </c>
      <c r="O54" s="9" t="str">
        <f>IF(
  F55="with_FTA",
  SUMIFS(
    import_cost_model!L:L,
    import_cost_model!A:A, A55,
    import_cost_model!E:E, "no_FTA"
  ) - M55,
  ""
)</f>
        <v/>
      </c>
    </row>
    <row r="55" spans="1:15" x14ac:dyDescent="0.25">
      <c r="A55" s="7">
        <v>53</v>
      </c>
      <c r="B55" s="4">
        <v>153</v>
      </c>
      <c r="C55" s="7" t="s">
        <v>44</v>
      </c>
      <c r="D55" s="7" t="s">
        <v>49</v>
      </c>
      <c r="E55" s="4" t="s">
        <v>48</v>
      </c>
      <c r="F55" s="7" t="s">
        <v>80</v>
      </c>
      <c r="G55" s="8">
        <f>_xlfn.XLOOKUP($B17,car_master!$B17:$B53,car_master!$I17:$I53)</f>
        <v>1550000</v>
      </c>
      <c r="H55" s="8">
        <f xml:space="preserve"> _xlfn.XLOOKUP(B17,car_master!$B17:$B53,car_master!$I17:$I53) * tax_parameters!$B$2</f>
        <v>1085000</v>
      </c>
      <c r="I55" s="8" cm="1">
        <f t="array" ref="I55">_xlfn.XLOOKUP($B55,$B$40:$B$76,$H$40:$H$76 * tax_parameters!$C$2)</f>
        <v>108500</v>
      </c>
      <c r="J55" s="8">
        <f t="shared" si="4"/>
        <v>2743500</v>
      </c>
      <c r="K55" s="8" cm="1">
        <f t="array" ref="K55">_xlfn.XLOOKUP($B55,$B55:$B91,$J55:$J91 * tax_parameters!$D$2)</f>
        <v>768180.00000000012</v>
      </c>
      <c r="L55" s="8" cm="1">
        <f t="array" ref="L55">_xlfn.XLOOKUP($B55, $B55:$B91, $J55:$J91 * 0.22)</f>
        <v>603570</v>
      </c>
      <c r="M55" s="8">
        <f t="shared" si="5"/>
        <v>2565250</v>
      </c>
      <c r="N55" s="8">
        <f t="shared" si="6"/>
        <v>4115250</v>
      </c>
      <c r="O55" s="9" t="str">
        <f>IF(
  F56="with_FTA",
  SUMIFS(
    import_cost_model!L:L,
    import_cost_model!A:A, A56,
    import_cost_model!E:E, "no_FTA"
  ) - M56,
  ""
)</f>
        <v/>
      </c>
    </row>
    <row r="56" spans="1:15" x14ac:dyDescent="0.25">
      <c r="A56" s="7">
        <v>54</v>
      </c>
      <c r="B56" s="4">
        <v>154</v>
      </c>
      <c r="C56" s="7" t="s">
        <v>44</v>
      </c>
      <c r="D56" s="7" t="s">
        <v>50</v>
      </c>
      <c r="E56" s="4" t="s">
        <v>51</v>
      </c>
      <c r="F56" s="7" t="s">
        <v>80</v>
      </c>
      <c r="G56" s="8">
        <f>_xlfn.XLOOKUP($B18,car_master!$B18:$B54,car_master!$I18:$I54)</f>
        <v>2800000</v>
      </c>
      <c r="H56" s="8">
        <f xml:space="preserve"> _xlfn.XLOOKUP(B18,car_master!$B18:$B54,car_master!$I18:$I54) * tax_parameters!$B$2</f>
        <v>1959999.9999999998</v>
      </c>
      <c r="I56" s="8" cm="1">
        <f t="array" ref="I56">_xlfn.XLOOKUP($B56,$B$40:$B$76,$H$40:$H$76 * tax_parameters!$C$2)</f>
        <v>196000</v>
      </c>
      <c r="J56" s="8">
        <f t="shared" si="4"/>
        <v>4956000</v>
      </c>
      <c r="K56" s="8" cm="1">
        <f t="array" ref="K56">_xlfn.XLOOKUP($B56,$B56:$B92,$J56:$J92 * tax_parameters!$D$2)</f>
        <v>1387680.0000000002</v>
      </c>
      <c r="L56" s="8" cm="1">
        <f t="array" ref="L56">_xlfn.XLOOKUP($B56, $B56:$B92, $J56:$J92 * 0.22)</f>
        <v>1090320</v>
      </c>
      <c r="M56" s="8">
        <f t="shared" si="5"/>
        <v>4634000</v>
      </c>
      <c r="N56" s="8">
        <f t="shared" si="6"/>
        <v>7434000</v>
      </c>
      <c r="O56" s="9" t="str">
        <f>IF(
  F57="with_FTA",
  SUMIFS(
    import_cost_model!L:L,
    import_cost_model!A:A, A57,
    import_cost_model!E:E, "no_FTA"
  ) - M57,
  ""
)</f>
        <v/>
      </c>
    </row>
    <row r="57" spans="1:15" x14ac:dyDescent="0.25">
      <c r="A57" s="7">
        <v>55</v>
      </c>
      <c r="B57" s="4">
        <v>155</v>
      </c>
      <c r="C57" s="7" t="s">
        <v>44</v>
      </c>
      <c r="D57" s="7" t="s">
        <v>50</v>
      </c>
      <c r="E57" s="4" t="s">
        <v>52</v>
      </c>
      <c r="F57" s="7" t="s">
        <v>80</v>
      </c>
      <c r="G57" s="8">
        <f>_xlfn.XLOOKUP($B19,car_master!$B19:$B55,car_master!$I19:$I55)</f>
        <v>3050000</v>
      </c>
      <c r="H57" s="8">
        <f xml:space="preserve"> _xlfn.XLOOKUP(B19,car_master!$B19:$B55,car_master!$I19:$I55) * tax_parameters!$B$2</f>
        <v>2135000</v>
      </c>
      <c r="I57" s="8" cm="1">
        <f t="array" ref="I57">_xlfn.XLOOKUP($B57,$B$40:$B$76,$H$40:$H$76 * tax_parameters!$C$2)</f>
        <v>213500</v>
      </c>
      <c r="J57" s="8">
        <f t="shared" si="4"/>
        <v>5398500</v>
      </c>
      <c r="K57" s="8" cm="1">
        <f t="array" ref="K57">_xlfn.XLOOKUP($B57,$B57:$B93,$J57:$J93 * tax_parameters!$D$2)</f>
        <v>1511580.0000000002</v>
      </c>
      <c r="L57" s="8" cm="1">
        <f t="array" ref="L57">_xlfn.XLOOKUP($B57, $B57:$B93, $J57:$J93 * 0.22)</f>
        <v>1187670</v>
      </c>
      <c r="M57" s="8">
        <f t="shared" si="5"/>
        <v>5047750</v>
      </c>
      <c r="N57" s="8">
        <f t="shared" si="6"/>
        <v>8097750</v>
      </c>
      <c r="O57" s="9" t="str">
        <f>IF(
  F58="with_FTA",
  SUMIFS(
    import_cost_model!L:L,
    import_cost_model!A:A, A58,
    import_cost_model!E:E, "no_FTA"
  ) - M58,
  ""
)</f>
        <v/>
      </c>
    </row>
    <row r="58" spans="1:15" x14ac:dyDescent="0.25">
      <c r="A58" s="7">
        <v>56</v>
      </c>
      <c r="B58" s="4">
        <v>156</v>
      </c>
      <c r="C58" s="7" t="s">
        <v>44</v>
      </c>
      <c r="D58" s="7" t="s">
        <v>53</v>
      </c>
      <c r="E58" s="4" t="s">
        <v>54</v>
      </c>
      <c r="F58" s="7" t="s">
        <v>80</v>
      </c>
      <c r="G58" s="8">
        <f>_xlfn.XLOOKUP($B20,car_master!$B20:$B56,car_master!$I20:$I56)</f>
        <v>780000</v>
      </c>
      <c r="H58" s="8">
        <f xml:space="preserve"> _xlfn.XLOOKUP(B20,car_master!$B20:$B56,car_master!$I20:$I56) * tax_parameters!$B$2</f>
        <v>546000</v>
      </c>
      <c r="I58" s="8" cm="1">
        <f t="array" ref="I58">_xlfn.XLOOKUP($B58,$B$40:$B$76,$H$40:$H$76 * tax_parameters!$C$2)</f>
        <v>54600</v>
      </c>
      <c r="J58" s="8">
        <f t="shared" si="4"/>
        <v>1380600</v>
      </c>
      <c r="K58" s="8" cm="1">
        <f t="array" ref="K58">_xlfn.XLOOKUP($B58,$B58:$B94,$J58:$J94 * tax_parameters!$D$2)</f>
        <v>386568.00000000006</v>
      </c>
      <c r="L58" s="8" cm="1">
        <f t="array" ref="L58">_xlfn.XLOOKUP($B58, $B58:$B94, $J58:$J94 * 0.22)</f>
        <v>303732</v>
      </c>
      <c r="M58" s="8">
        <f t="shared" si="5"/>
        <v>1290900</v>
      </c>
      <c r="N58" s="8">
        <f t="shared" si="6"/>
        <v>2070900</v>
      </c>
      <c r="O58" s="9" t="str">
        <f>IF(
  F59="with_FTA",
  SUMIFS(
    import_cost_model!L:L,
    import_cost_model!A:A, A59,
    import_cost_model!E:E, "no_FTA"
  ) - M59,
  ""
)</f>
        <v/>
      </c>
    </row>
    <row r="59" spans="1:15" x14ac:dyDescent="0.25">
      <c r="A59" s="7">
        <v>57</v>
      </c>
      <c r="B59" s="4">
        <v>157</v>
      </c>
      <c r="C59" s="7" t="s">
        <v>44</v>
      </c>
      <c r="D59" s="7" t="s">
        <v>55</v>
      </c>
      <c r="E59" s="4" t="s">
        <v>47</v>
      </c>
      <c r="F59" s="7" t="s">
        <v>80</v>
      </c>
      <c r="G59" s="8">
        <f>_xlfn.XLOOKUP($B21,car_master!$B21:$B57,car_master!$I21:$I57)</f>
        <v>950000</v>
      </c>
      <c r="H59" s="8">
        <f xml:space="preserve"> _xlfn.XLOOKUP(B21,car_master!$B21:$B57,car_master!$I21:$I57) * tax_parameters!$B$2</f>
        <v>665000</v>
      </c>
      <c r="I59" s="8" cm="1">
        <f t="array" ref="I59">_xlfn.XLOOKUP($B59,$B$40:$B$76,$H$40:$H$76 * tax_parameters!$C$2)</f>
        <v>66500</v>
      </c>
      <c r="J59" s="8">
        <f t="shared" si="4"/>
        <v>1681500</v>
      </c>
      <c r="K59" s="8" cm="1">
        <f t="array" ref="K59">_xlfn.XLOOKUP($B59,$B59:$B95,$J59:$J95 * tax_parameters!$D$2)</f>
        <v>470820.00000000006</v>
      </c>
      <c r="L59" s="8" cm="1">
        <f t="array" ref="L59">_xlfn.XLOOKUP($B59, $B59:$B95, $J59:$J95 * 0.22)</f>
        <v>369930</v>
      </c>
      <c r="M59" s="8">
        <f t="shared" si="5"/>
        <v>1572250</v>
      </c>
      <c r="N59" s="8">
        <f t="shared" si="6"/>
        <v>2522250</v>
      </c>
      <c r="O59" s="9" t="str">
        <f>IF(
  F60="with_FTA",
  SUMIFS(
    import_cost_model!L:L,
    import_cost_model!A:A, A60,
    import_cost_model!E:E, "no_FTA"
  ) - M60,
  ""
)</f>
        <v/>
      </c>
    </row>
    <row r="60" spans="1:15" x14ac:dyDescent="0.25">
      <c r="A60" s="7">
        <v>58</v>
      </c>
      <c r="B60" s="4">
        <v>158</v>
      </c>
      <c r="C60" s="7" t="s">
        <v>8</v>
      </c>
      <c r="D60" s="7" t="s">
        <v>56</v>
      </c>
      <c r="E60" s="4" t="s">
        <v>57</v>
      </c>
      <c r="F60" s="7" t="s">
        <v>80</v>
      </c>
      <c r="G60" s="8">
        <f>_xlfn.XLOOKUP($B22,car_master!$B22:$B58,car_master!$I22:$I58)</f>
        <v>3600000</v>
      </c>
      <c r="H60" s="8">
        <f xml:space="preserve"> _xlfn.XLOOKUP(B22,car_master!$B22:$B58,car_master!$I22:$I58) * tax_parameters!$B$2</f>
        <v>2520000</v>
      </c>
      <c r="I60" s="8" cm="1">
        <f t="array" ref="I60">_xlfn.XLOOKUP($B60,$B$40:$B$76,$H$40:$H$76 * tax_parameters!$C$2)</f>
        <v>252000</v>
      </c>
      <c r="J60" s="8">
        <f t="shared" si="4"/>
        <v>6372000</v>
      </c>
      <c r="K60" s="8" cm="1">
        <f t="array" ref="K60">_xlfn.XLOOKUP($B60,$B60:$B96,$J60:$J96 * tax_parameters!$D$2)</f>
        <v>1784160.0000000002</v>
      </c>
      <c r="L60" s="8" cm="1">
        <f t="array" ref="L60">_xlfn.XLOOKUP($B60, $B60:$B96, $J60:$J96 * 0.22)</f>
        <v>1401840</v>
      </c>
      <c r="M60" s="8">
        <f t="shared" si="5"/>
        <v>5958000</v>
      </c>
      <c r="N60" s="8">
        <f t="shared" si="6"/>
        <v>9558000</v>
      </c>
      <c r="O60" s="9" t="str">
        <f>IF(
  F61="with_FTA",
  SUMIFS(
    import_cost_model!L:L,
    import_cost_model!A:A, A61,
    import_cost_model!E:E, "no_FTA"
  ) - M61,
  ""
)</f>
        <v/>
      </c>
    </row>
    <row r="61" spans="1:15" x14ac:dyDescent="0.25">
      <c r="A61" s="7">
        <v>59</v>
      </c>
      <c r="B61" s="4">
        <v>159</v>
      </c>
      <c r="C61" s="7" t="s">
        <v>8</v>
      </c>
      <c r="D61" s="7" t="s">
        <v>9</v>
      </c>
      <c r="E61" s="4" t="s">
        <v>58</v>
      </c>
      <c r="F61" s="7" t="s">
        <v>80</v>
      </c>
      <c r="G61" s="8">
        <f>_xlfn.XLOOKUP($B23,car_master!$B23:$B59,car_master!$I23:$I59)</f>
        <v>5800000</v>
      </c>
      <c r="H61" s="8">
        <f xml:space="preserve"> _xlfn.XLOOKUP(B23,car_master!$B23:$B59,car_master!$I23:$I59) * tax_parameters!$B$2</f>
        <v>4059999.9999999995</v>
      </c>
      <c r="I61" s="8" cm="1">
        <f t="array" ref="I61">_xlfn.XLOOKUP($B61,$B$40:$B$76,$H$40:$H$76 * tax_parameters!$C$2)</f>
        <v>406000</v>
      </c>
      <c r="J61" s="8">
        <f t="shared" si="4"/>
        <v>10266000</v>
      </c>
      <c r="K61" s="8" cm="1">
        <f t="array" ref="K61">_xlfn.XLOOKUP($B61,$B61:$B97,$J61:$J97 * tax_parameters!$D$2)</f>
        <v>2874480.0000000005</v>
      </c>
      <c r="L61" s="8" cm="1">
        <f t="array" ref="L61">_xlfn.XLOOKUP($B61, $B61:$B97, $J61:$J97 * 0.22)</f>
        <v>2258520</v>
      </c>
      <c r="M61" s="8">
        <f t="shared" si="5"/>
        <v>9599000</v>
      </c>
      <c r="N61" s="8">
        <f t="shared" si="6"/>
        <v>15399000</v>
      </c>
      <c r="O61" s="9" t="str">
        <f>IF(
  F62="with_FTA",
  SUMIFS(
    import_cost_model!L:L,
    import_cost_model!A:A, A62,
    import_cost_model!E:E, "no_FTA"
  ) - M62,
  ""
)</f>
        <v/>
      </c>
    </row>
    <row r="62" spans="1:15" x14ac:dyDescent="0.25">
      <c r="A62" s="7">
        <v>60</v>
      </c>
      <c r="B62" s="4">
        <v>160</v>
      </c>
      <c r="C62" s="7" t="s">
        <v>8</v>
      </c>
      <c r="D62" s="7" t="s">
        <v>10</v>
      </c>
      <c r="E62" s="4" t="s">
        <v>59</v>
      </c>
      <c r="F62" s="7" t="s">
        <v>80</v>
      </c>
      <c r="G62" s="8">
        <f>_xlfn.XLOOKUP($B24,car_master!$B24:$B60,car_master!$I24:$I60)</f>
        <v>6600000</v>
      </c>
      <c r="H62" s="8">
        <f xml:space="preserve"> _xlfn.XLOOKUP(B24,car_master!$B24:$B60,car_master!$I24:$I60) * tax_parameters!$B$2</f>
        <v>4620000</v>
      </c>
      <c r="I62" s="8" cm="1">
        <f t="array" ref="I62">_xlfn.XLOOKUP($B62,$B$40:$B$76,$H$40:$H$76 * tax_parameters!$C$2)</f>
        <v>462000</v>
      </c>
      <c r="J62" s="8">
        <f t="shared" si="4"/>
        <v>11682000</v>
      </c>
      <c r="K62" s="8" cm="1">
        <f t="array" ref="K62">_xlfn.XLOOKUP($B62,$B62:$B98,$J62:$J98 * tax_parameters!$D$2)</f>
        <v>3270960.0000000005</v>
      </c>
      <c r="L62" s="8" cm="1">
        <f t="array" ref="L62">_xlfn.XLOOKUP($B62, $B62:$B98, $J62:$J98 * 0.22)</f>
        <v>2570040</v>
      </c>
      <c r="M62" s="8">
        <f t="shared" si="5"/>
        <v>10923000</v>
      </c>
      <c r="N62" s="8">
        <f t="shared" si="6"/>
        <v>17523000</v>
      </c>
      <c r="O62" s="9" t="str">
        <f>IF(
  F63="with_FTA",
  SUMIFS(
    import_cost_model!L:L,
    import_cost_model!A:A, A63,
    import_cost_model!E:E, "no_FTA"
  ) - M63,
  ""
)</f>
        <v/>
      </c>
    </row>
    <row r="63" spans="1:15" x14ac:dyDescent="0.25">
      <c r="A63" s="7">
        <v>61</v>
      </c>
      <c r="B63" s="4">
        <v>161</v>
      </c>
      <c r="C63" s="7" t="s">
        <v>8</v>
      </c>
      <c r="D63" s="7" t="s">
        <v>60</v>
      </c>
      <c r="E63" s="4" t="s">
        <v>61</v>
      </c>
      <c r="F63" s="7" t="s">
        <v>80</v>
      </c>
      <c r="G63" s="8">
        <f>_xlfn.XLOOKUP($B25,car_master!$B25:$B61,car_master!$I25:$I61)</f>
        <v>4000000</v>
      </c>
      <c r="H63" s="8">
        <f xml:space="preserve"> _xlfn.XLOOKUP(B25,car_master!$B25:$B61,car_master!$I25:$I61) * tax_parameters!$B$2</f>
        <v>2800000</v>
      </c>
      <c r="I63" s="8" cm="1">
        <f t="array" ref="I63">_xlfn.XLOOKUP($B63,$B$40:$B$76,$H$40:$H$76 * tax_parameters!$C$2)</f>
        <v>280000</v>
      </c>
      <c r="J63" s="8">
        <f t="shared" si="4"/>
        <v>7080000</v>
      </c>
      <c r="K63" s="8" cm="1">
        <f t="array" ref="K63">_xlfn.XLOOKUP($B63,$B63:$B99,$J63:$J99 * tax_parameters!$D$2)</f>
        <v>1982400.0000000002</v>
      </c>
      <c r="L63" s="8" cm="1">
        <f t="array" ref="L63">_xlfn.XLOOKUP($B63, $B63:$B99, $J63:$J99 * 0.22)</f>
        <v>1557600</v>
      </c>
      <c r="M63" s="8">
        <f t="shared" si="5"/>
        <v>6620000</v>
      </c>
      <c r="N63" s="8">
        <f t="shared" si="6"/>
        <v>10620000</v>
      </c>
      <c r="O63" s="9" t="str">
        <f>IF(
  F64="with_FTA",
  SUMIFS(
    import_cost_model!L:L,
    import_cost_model!A:A, A64,
    import_cost_model!E:E, "no_FTA"
  ) - M64,
  ""
)</f>
        <v/>
      </c>
    </row>
    <row r="64" spans="1:15" x14ac:dyDescent="0.25">
      <c r="A64" s="7">
        <v>62</v>
      </c>
      <c r="B64" s="4">
        <v>162</v>
      </c>
      <c r="C64" s="7" t="s">
        <v>8</v>
      </c>
      <c r="D64" s="7" t="s">
        <v>62</v>
      </c>
      <c r="E64" s="4" t="s">
        <v>63</v>
      </c>
      <c r="F64" s="7" t="s">
        <v>80</v>
      </c>
      <c r="G64" s="8">
        <f>_xlfn.XLOOKUP($B26,car_master!$B26:$B62,car_master!$I26:$I62)</f>
        <v>6900000</v>
      </c>
      <c r="H64" s="8">
        <f xml:space="preserve"> _xlfn.XLOOKUP(B26,car_master!$B26:$B62,car_master!$I26:$I62) * tax_parameters!$B$2</f>
        <v>4830000</v>
      </c>
      <c r="I64" s="8" cm="1">
        <f t="array" ref="I64">_xlfn.XLOOKUP($B64,$B$40:$B$76,$H$40:$H$76 * tax_parameters!$C$2)</f>
        <v>483000</v>
      </c>
      <c r="J64" s="8">
        <f t="shared" si="4"/>
        <v>12213000</v>
      </c>
      <c r="K64" s="8" cm="1">
        <f t="array" ref="K64">_xlfn.XLOOKUP($B64,$B64:$B100,$J64:$J100 * tax_parameters!$D$2)</f>
        <v>3419640.0000000005</v>
      </c>
      <c r="L64" s="8" cm="1">
        <f t="array" ref="L64">_xlfn.XLOOKUP($B64, $B64:$B100, $J64:$J100 * 0.22)</f>
        <v>2686860</v>
      </c>
      <c r="M64" s="8">
        <f t="shared" si="5"/>
        <v>11419500</v>
      </c>
      <c r="N64" s="8">
        <f t="shared" si="6"/>
        <v>18319500</v>
      </c>
      <c r="O64" s="9" t="str">
        <f>IF(
  F65="with_FTA",
  SUMIFS(
    import_cost_model!L:L,
    import_cost_model!A:A, A65,
    import_cost_model!E:E, "no_FTA"
  ) - M65,
  ""
)</f>
        <v/>
      </c>
    </row>
    <row r="65" spans="1:15" x14ac:dyDescent="0.25">
      <c r="A65" s="7">
        <v>63</v>
      </c>
      <c r="B65" s="4">
        <v>163</v>
      </c>
      <c r="C65" s="7" t="s">
        <v>8</v>
      </c>
      <c r="D65" s="7" t="s">
        <v>64</v>
      </c>
      <c r="E65" s="4" t="s">
        <v>65</v>
      </c>
      <c r="F65" s="7" t="s">
        <v>80</v>
      </c>
      <c r="G65" s="8">
        <f>_xlfn.XLOOKUP($B27,car_master!$B27:$B63,car_master!$I27:$I63)</f>
        <v>7800000</v>
      </c>
      <c r="H65" s="8">
        <f xml:space="preserve"> _xlfn.XLOOKUP(B27,car_master!$B27:$B63,car_master!$I27:$I63) * tax_parameters!$B$2</f>
        <v>5460000</v>
      </c>
      <c r="I65" s="8" cm="1">
        <f t="array" ref="I65">_xlfn.XLOOKUP($B65,$B$40:$B$76,$H$40:$H$76 * tax_parameters!$C$2)</f>
        <v>546000</v>
      </c>
      <c r="J65" s="8">
        <f t="shared" si="4"/>
        <v>13806000</v>
      </c>
      <c r="K65" s="8" cm="1">
        <f t="array" ref="K65">_xlfn.XLOOKUP($B65,$B65:$B101,$J65:$J101 * tax_parameters!$D$2)</f>
        <v>3865680.0000000005</v>
      </c>
      <c r="L65" s="8" cm="1">
        <f t="array" ref="L65">_xlfn.XLOOKUP($B65, $B65:$B101, $J65:$J101 * 0.22)</f>
        <v>3037320</v>
      </c>
      <c r="M65" s="8">
        <f t="shared" si="5"/>
        <v>12909000</v>
      </c>
      <c r="N65" s="8">
        <f t="shared" si="6"/>
        <v>20709000</v>
      </c>
      <c r="O65" s="9" t="str">
        <f>IF(
  F66="with_FTA",
  SUMIFS(
    import_cost_model!L:L,
    import_cost_model!A:A, A66,
    import_cost_model!E:E, "no_FTA"
  ) - M66,
  ""
)</f>
        <v/>
      </c>
    </row>
    <row r="66" spans="1:15" x14ac:dyDescent="0.25">
      <c r="A66" s="7">
        <v>64</v>
      </c>
      <c r="B66" s="4">
        <v>164</v>
      </c>
      <c r="C66" s="7" t="s">
        <v>11</v>
      </c>
      <c r="D66" s="7" t="s">
        <v>12</v>
      </c>
      <c r="E66" s="4" t="s">
        <v>66</v>
      </c>
      <c r="F66" s="7" t="s">
        <v>80</v>
      </c>
      <c r="G66" s="8">
        <f>_xlfn.XLOOKUP($B28,car_master!$B28:$B64,car_master!$I28:$I64)</f>
        <v>4500000</v>
      </c>
      <c r="H66" s="8">
        <f xml:space="preserve"> _xlfn.XLOOKUP(B28,car_master!$B28:$B64,car_master!$I28:$I64) * tax_parameters!$B$2</f>
        <v>3150000</v>
      </c>
      <c r="I66" s="8" cm="1">
        <f t="array" ref="I66">_xlfn.XLOOKUP($B66,$B$40:$B$76,$H$40:$H$76 * tax_parameters!$C$2)</f>
        <v>315000</v>
      </c>
      <c r="J66" s="8">
        <f t="shared" si="4"/>
        <v>7965000</v>
      </c>
      <c r="K66" s="8" cm="1">
        <f t="array" ref="K66">_xlfn.XLOOKUP($B66,$B66:$B102,$J66:$J102 * tax_parameters!$D$2)</f>
        <v>2230200</v>
      </c>
      <c r="L66" s="8" cm="1">
        <f t="array" ref="L66">_xlfn.XLOOKUP($B66, $B66:$B102, $J66:$J102 * 0.22)</f>
        <v>1752300</v>
      </c>
      <c r="M66" s="8">
        <f t="shared" si="5"/>
        <v>7447500</v>
      </c>
      <c r="N66" s="8">
        <f t="shared" si="6"/>
        <v>11947500</v>
      </c>
      <c r="O66" s="9" t="str">
        <f>IF(
  F67="with_FTA",
  SUMIFS(
    import_cost_model!L:L,
    import_cost_model!A:A, A67,
    import_cost_model!E:E, "no_FTA"
  ) - M67,
  ""
)</f>
        <v/>
      </c>
    </row>
    <row r="67" spans="1:15" x14ac:dyDescent="0.25">
      <c r="A67" s="7">
        <v>65</v>
      </c>
      <c r="B67" s="4">
        <v>165</v>
      </c>
      <c r="C67" s="7" t="s">
        <v>11</v>
      </c>
      <c r="D67" s="7" t="s">
        <v>13</v>
      </c>
      <c r="E67" s="4" t="s">
        <v>67</v>
      </c>
      <c r="F67" s="7" t="s">
        <v>80</v>
      </c>
      <c r="G67" s="8">
        <f>_xlfn.XLOOKUP($B29,car_master!$B29:$B65,car_master!$I29:$I65)</f>
        <v>5800000</v>
      </c>
      <c r="H67" s="8">
        <f xml:space="preserve"> _xlfn.XLOOKUP(B29,car_master!$B29:$B65,car_master!$I29:$I65) * tax_parameters!$B$2</f>
        <v>4059999.9999999995</v>
      </c>
      <c r="I67" s="8" cm="1">
        <f t="array" ref="I67">_xlfn.XLOOKUP($B67,$B$40:$B$76,$H$40:$H$76 * tax_parameters!$C$2)</f>
        <v>406000</v>
      </c>
      <c r="J67" s="8">
        <f t="shared" si="4"/>
        <v>10266000</v>
      </c>
      <c r="K67" s="8" cm="1">
        <f t="array" ref="K67">_xlfn.XLOOKUP($B67,$B67:$B103,$J67:$J103 * tax_parameters!$D$2)</f>
        <v>2874480.0000000005</v>
      </c>
      <c r="L67" s="8" cm="1">
        <f t="array" ref="L67">_xlfn.XLOOKUP($B67, $B67:$B103, $J67:$J103 * 0.22)</f>
        <v>2258520</v>
      </c>
      <c r="M67" s="8">
        <f t="shared" si="5"/>
        <v>9599000</v>
      </c>
      <c r="N67" s="8">
        <f t="shared" si="6"/>
        <v>15399000</v>
      </c>
      <c r="O67" s="9" t="str">
        <f>IF(
  F68="with_FTA",
  SUMIFS(
    import_cost_model!L:L,
    import_cost_model!A:A, A68,
    import_cost_model!E:E, "no_FTA"
  ) - M68,
  ""
)</f>
        <v/>
      </c>
    </row>
    <row r="68" spans="1:15" x14ac:dyDescent="0.25">
      <c r="A68" s="7">
        <v>66</v>
      </c>
      <c r="B68" s="4">
        <v>166</v>
      </c>
      <c r="C68" s="7" t="s">
        <v>11</v>
      </c>
      <c r="D68" s="7" t="s">
        <v>68</v>
      </c>
      <c r="E68" s="4" t="s">
        <v>67</v>
      </c>
      <c r="F68" s="7" t="s">
        <v>80</v>
      </c>
      <c r="G68" s="8">
        <f>_xlfn.XLOOKUP($B30,car_master!$B30:$B66,car_master!$I30:$I66)</f>
        <v>4400000</v>
      </c>
      <c r="H68" s="8">
        <f xml:space="preserve"> _xlfn.XLOOKUP(B30,car_master!$B30:$B66,car_master!$I30:$I66) * tax_parameters!$B$2</f>
        <v>3080000</v>
      </c>
      <c r="I68" s="8" cm="1">
        <f t="array" ref="I68">_xlfn.XLOOKUP($B68,$B$40:$B$76,$H$40:$H$76 * tax_parameters!$C$2)</f>
        <v>308000</v>
      </c>
      <c r="J68" s="8">
        <f t="shared" si="4"/>
        <v>7788000</v>
      </c>
      <c r="K68" s="8" cm="1">
        <f t="array" ref="K68">_xlfn.XLOOKUP($B68,$B68:$B104,$J68:$J104 * tax_parameters!$D$2)</f>
        <v>2180640</v>
      </c>
      <c r="L68" s="8" cm="1">
        <f t="array" ref="L68">_xlfn.XLOOKUP($B68, $B68:$B104, $J68:$J104 * 0.22)</f>
        <v>1713360</v>
      </c>
      <c r="M68" s="8">
        <f t="shared" si="5"/>
        <v>7282000</v>
      </c>
      <c r="N68" s="8">
        <f t="shared" si="6"/>
        <v>11682000</v>
      </c>
      <c r="O68" s="9" t="str">
        <f>IF(
  F69="with_FTA",
  SUMIFS(
    import_cost_model!L:L,
    import_cost_model!A:A, A69,
    import_cost_model!E:E, "no_FTA"
  ) - M69,
  ""
)</f>
        <v/>
      </c>
    </row>
    <row r="69" spans="1:15" x14ac:dyDescent="0.25">
      <c r="A69" s="7">
        <v>67</v>
      </c>
      <c r="B69" s="4">
        <v>167</v>
      </c>
      <c r="C69" s="7" t="s">
        <v>11</v>
      </c>
      <c r="D69" s="7" t="s">
        <v>69</v>
      </c>
      <c r="E69" s="4" t="s">
        <v>70</v>
      </c>
      <c r="F69" s="7" t="s">
        <v>80</v>
      </c>
      <c r="G69" s="8">
        <f>_xlfn.XLOOKUP($B31,car_master!$B31:$B67,car_master!$I31:$I67)</f>
        <v>5200000</v>
      </c>
      <c r="H69" s="8">
        <f xml:space="preserve"> _xlfn.XLOOKUP(B31,car_master!$B31:$B67,car_master!$I31:$I67) * tax_parameters!$B$2</f>
        <v>3640000</v>
      </c>
      <c r="I69" s="8" cm="1">
        <f t="array" ref="I69">_xlfn.XLOOKUP($B69,$B$40:$B$76,$H$40:$H$76 * tax_parameters!$C$2)</f>
        <v>364000</v>
      </c>
      <c r="J69" s="8">
        <f t="shared" si="4"/>
        <v>9204000</v>
      </c>
      <c r="K69" s="8" cm="1">
        <f t="array" ref="K69">_xlfn.XLOOKUP($B69,$B69:$B105,$J69:$J105 * tax_parameters!$D$2)</f>
        <v>2577120.0000000005</v>
      </c>
      <c r="L69" s="8" cm="1">
        <f t="array" ref="L69">_xlfn.XLOOKUP($B69, $B69:$B105, $J69:$J105 * 0.22)</f>
        <v>2024880</v>
      </c>
      <c r="M69" s="8">
        <f t="shared" si="5"/>
        <v>8606000</v>
      </c>
      <c r="N69" s="8">
        <f t="shared" si="6"/>
        <v>13806000</v>
      </c>
      <c r="O69" s="9" t="str">
        <f>IF(
  F70="with_FTA",
  SUMIFS(
    import_cost_model!L:L,
    import_cost_model!A:A, A70,
    import_cost_model!E:E, "no_FTA"
  ) - M70,
  ""
)</f>
        <v/>
      </c>
    </row>
    <row r="70" spans="1:15" x14ac:dyDescent="0.25">
      <c r="A70" s="7">
        <v>68</v>
      </c>
      <c r="B70" s="4">
        <v>168</v>
      </c>
      <c r="C70" s="7" t="s">
        <v>11</v>
      </c>
      <c r="D70" s="7" t="s">
        <v>71</v>
      </c>
      <c r="E70" s="4" t="s">
        <v>70</v>
      </c>
      <c r="F70" s="7" t="s">
        <v>80</v>
      </c>
      <c r="G70" s="8">
        <f>_xlfn.XLOOKUP($B32,car_master!$B32:$B68,car_master!$I32:$I68)</f>
        <v>7000000</v>
      </c>
      <c r="H70" s="8">
        <f xml:space="preserve"> _xlfn.XLOOKUP(B32,car_master!$B32:$B68,car_master!$I32:$I68) * tax_parameters!$B$2</f>
        <v>4900000</v>
      </c>
      <c r="I70" s="8" cm="1">
        <f t="array" ref="I70">_xlfn.XLOOKUP($B70,$B$40:$B$76,$H$40:$H$76 * tax_parameters!$C$2)</f>
        <v>490000</v>
      </c>
      <c r="J70" s="8">
        <f t="shared" si="4"/>
        <v>12390000</v>
      </c>
      <c r="K70" s="8" cm="1">
        <f t="array" ref="K70">_xlfn.XLOOKUP($B70,$B70:$B106,$J70:$J106 * tax_parameters!$D$2)</f>
        <v>3469200.0000000005</v>
      </c>
      <c r="L70" s="8" cm="1">
        <f t="array" ref="L70">_xlfn.XLOOKUP($B70, $B70:$B106, $J70:$J106 * 0.22)</f>
        <v>2725800</v>
      </c>
      <c r="M70" s="8">
        <f t="shared" si="5"/>
        <v>11585000</v>
      </c>
      <c r="N70" s="8">
        <f t="shared" si="6"/>
        <v>18585000</v>
      </c>
      <c r="O70" s="9" t="str">
        <f>IF(
  F71="with_FTA",
  SUMIFS(
    import_cost_model!L:L,
    import_cost_model!A:A, A71,
    import_cost_model!E:E, "no_FTA"
  ) - M71,
  ""
)</f>
        <v/>
      </c>
    </row>
    <row r="71" spans="1:15" x14ac:dyDescent="0.25">
      <c r="A71" s="7">
        <v>69</v>
      </c>
      <c r="B71" s="4">
        <v>169</v>
      </c>
      <c r="C71" s="7" t="s">
        <v>72</v>
      </c>
      <c r="D71" s="7" t="s">
        <v>73</v>
      </c>
      <c r="E71" s="4" t="s">
        <v>74</v>
      </c>
      <c r="F71" s="7" t="s">
        <v>80</v>
      </c>
      <c r="G71" s="8">
        <f>_xlfn.XLOOKUP($B33,car_master!$B33:$B69,car_master!$I33:$I69)</f>
        <v>1000000</v>
      </c>
      <c r="H71" s="8">
        <f xml:space="preserve"> _xlfn.XLOOKUP(B33,car_master!$B33:$B69,car_master!$I33:$I69) * tax_parameters!$B$2</f>
        <v>700000</v>
      </c>
      <c r="I71" s="8" cm="1">
        <f t="array" ref="I71">_xlfn.XLOOKUP($B71,$B$40:$B$76,$H$40:$H$76 * tax_parameters!$C$2)</f>
        <v>70000</v>
      </c>
      <c r="J71" s="8">
        <f t="shared" si="4"/>
        <v>1770000</v>
      </c>
      <c r="K71" s="8" cm="1">
        <f t="array" ref="K71">_xlfn.XLOOKUP($B71,$B71:$B107,$J71:$J107 * tax_parameters!$D$2)</f>
        <v>495600.00000000006</v>
      </c>
      <c r="L71" s="8" cm="1">
        <f t="array" ref="L71">_xlfn.XLOOKUP($B71, $B71:$B107, $J71:$J107 * 0.22)</f>
        <v>389400</v>
      </c>
      <c r="M71" s="8">
        <f t="shared" si="5"/>
        <v>1655000</v>
      </c>
      <c r="N71" s="8">
        <f t="shared" si="6"/>
        <v>2655000</v>
      </c>
      <c r="O71" s="9" t="str">
        <f>IF(
  F72="with_FTA",
  SUMIFS(
    import_cost_model!L:L,
    import_cost_model!A:A, A72,
    import_cost_model!E:E, "no_FTA"
  ) - M72,
  ""
)</f>
        <v/>
      </c>
    </row>
    <row r="72" spans="1:15" x14ac:dyDescent="0.25">
      <c r="A72" s="7">
        <v>70</v>
      </c>
      <c r="B72" s="4">
        <v>170</v>
      </c>
      <c r="C72" s="7" t="s">
        <v>72</v>
      </c>
      <c r="D72" s="7" t="s">
        <v>73</v>
      </c>
      <c r="E72" s="4" t="s">
        <v>75</v>
      </c>
      <c r="F72" s="7" t="s">
        <v>80</v>
      </c>
      <c r="G72" s="8">
        <f>_xlfn.XLOOKUP($B34,car_master!$B34:$B70,car_master!$I34:$I70)</f>
        <v>1400000</v>
      </c>
      <c r="H72" s="8">
        <f xml:space="preserve"> _xlfn.XLOOKUP(B34,car_master!$B34:$B70,car_master!$I34:$I70) * tax_parameters!$B$2</f>
        <v>979999.99999999988</v>
      </c>
      <c r="I72" s="8" cm="1">
        <f t="array" ref="I72">_xlfn.XLOOKUP($B72,$B$40:$B$76,$H$40:$H$76 * tax_parameters!$C$2)</f>
        <v>98000</v>
      </c>
      <c r="J72" s="8">
        <f t="shared" si="4"/>
        <v>2478000</v>
      </c>
      <c r="K72" s="8" cm="1">
        <f t="array" ref="K72">_xlfn.XLOOKUP($B72,$B72:$B108,$J72:$J108 * tax_parameters!$D$2)</f>
        <v>693840.00000000012</v>
      </c>
      <c r="L72" s="8" cm="1">
        <f t="array" ref="L72">_xlfn.XLOOKUP($B72, $B72:$B108, $J72:$J108 * 0.22)</f>
        <v>545160</v>
      </c>
      <c r="M72" s="8">
        <f t="shared" si="5"/>
        <v>2317000</v>
      </c>
      <c r="N72" s="8">
        <f t="shared" si="6"/>
        <v>3717000</v>
      </c>
      <c r="O72" s="9" t="str">
        <f>IF(
  F73="with_FTA",
  SUMIFS(
    import_cost_model!L:L,
    import_cost_model!A:A, A73,
    import_cost_model!E:E, "no_FTA"
  ) - M73,
  ""
)</f>
        <v/>
      </c>
    </row>
    <row r="73" spans="1:15" x14ac:dyDescent="0.25">
      <c r="A73" s="7">
        <v>71</v>
      </c>
      <c r="B73" s="4">
        <v>171</v>
      </c>
      <c r="C73" s="7" t="s">
        <v>72</v>
      </c>
      <c r="D73" s="7" t="s">
        <v>76</v>
      </c>
      <c r="E73" s="4" t="s">
        <v>74</v>
      </c>
      <c r="F73" s="7" t="s">
        <v>80</v>
      </c>
      <c r="G73" s="8">
        <f>_xlfn.XLOOKUP($B35,car_master!$B35:$B71,car_master!$I35:$I71)</f>
        <v>1100000</v>
      </c>
      <c r="H73" s="8">
        <f xml:space="preserve"> _xlfn.XLOOKUP(B35,car_master!$B35:$B71,car_master!$I35:$I71) * tax_parameters!$B$2</f>
        <v>770000</v>
      </c>
      <c r="I73" s="8" cm="1">
        <f t="array" ref="I73">_xlfn.XLOOKUP($B73,$B$40:$B$76,$H$40:$H$76 * tax_parameters!$C$2)</f>
        <v>77000</v>
      </c>
      <c r="J73" s="8">
        <f t="shared" si="4"/>
        <v>1947000</v>
      </c>
      <c r="K73" s="8" cm="1">
        <f t="array" ref="K73">_xlfn.XLOOKUP($B73,$B73:$B109,$J73:$J109 * tax_parameters!$D$2)</f>
        <v>545160</v>
      </c>
      <c r="L73" s="8" cm="1">
        <f t="array" ref="L73">_xlfn.XLOOKUP($B73, $B73:$B109, $J73:$J109 * 0.22)</f>
        <v>428340</v>
      </c>
      <c r="M73" s="8">
        <f t="shared" si="5"/>
        <v>1820500</v>
      </c>
      <c r="N73" s="8">
        <f t="shared" si="6"/>
        <v>2920500</v>
      </c>
      <c r="O73" s="9" t="str">
        <f>IF(
  F74="with_FTA",
  SUMIFS(
    import_cost_model!L:L,
    import_cost_model!A:A, A74,
    import_cost_model!E:E, "no_FTA"
  ) - M74,
  ""
)</f>
        <v/>
      </c>
    </row>
    <row r="74" spans="1:15" x14ac:dyDescent="0.25">
      <c r="A74" s="7">
        <v>72</v>
      </c>
      <c r="B74" s="4">
        <v>172</v>
      </c>
      <c r="C74" s="7" t="s">
        <v>72</v>
      </c>
      <c r="D74" s="7" t="s">
        <v>76</v>
      </c>
      <c r="E74" s="4" t="s">
        <v>75</v>
      </c>
      <c r="F74" s="7" t="s">
        <v>80</v>
      </c>
      <c r="G74" s="8">
        <f>_xlfn.XLOOKUP($B36,car_master!$B36:$B72,car_master!$I36:$I72)</f>
        <v>1500000</v>
      </c>
      <c r="H74" s="8">
        <f xml:space="preserve"> _xlfn.XLOOKUP(B36,car_master!$B36:$B72,car_master!$I36:$I72) * tax_parameters!$B$2</f>
        <v>1050000</v>
      </c>
      <c r="I74" s="8" cm="1">
        <f t="array" ref="I74">_xlfn.XLOOKUP($B74,$B$40:$B$76,$H$40:$H$76 * tax_parameters!$C$2)</f>
        <v>105000</v>
      </c>
      <c r="J74" s="8">
        <f t="shared" si="4"/>
        <v>2655000</v>
      </c>
      <c r="K74" s="8" cm="1">
        <f t="array" ref="K74">_xlfn.XLOOKUP($B74,$B74:$B110,$J74:$J110 * tax_parameters!$D$2)</f>
        <v>743400.00000000012</v>
      </c>
      <c r="L74" s="8" cm="1">
        <f t="array" ref="L74">_xlfn.XLOOKUP($B74, $B74:$B110, $J74:$J110 * 0.22)</f>
        <v>584100</v>
      </c>
      <c r="M74" s="8">
        <f t="shared" si="5"/>
        <v>2482500</v>
      </c>
      <c r="N74" s="8">
        <f t="shared" si="6"/>
        <v>3982500</v>
      </c>
      <c r="O74" s="9" t="str">
        <f>IF(
  F75="with_FTA",
  SUMIFS(
    import_cost_model!L:L,
    import_cost_model!A:A, A75,
    import_cost_model!E:E, "no_FTA"
  ) - M75,
  ""
)</f>
        <v/>
      </c>
    </row>
    <row r="75" spans="1:15" x14ac:dyDescent="0.25">
      <c r="A75" s="7">
        <v>73</v>
      </c>
      <c r="B75" s="4">
        <v>173</v>
      </c>
      <c r="C75" s="7" t="s">
        <v>72</v>
      </c>
      <c r="D75" s="7" t="s">
        <v>77</v>
      </c>
      <c r="E75" s="4" t="s">
        <v>78</v>
      </c>
      <c r="F75" s="7" t="s">
        <v>80</v>
      </c>
      <c r="G75" s="8">
        <f>_xlfn.XLOOKUP($B37,car_master!$B37:$B73,car_master!$I37:$I73)</f>
        <v>4300000</v>
      </c>
      <c r="H75" s="8">
        <f xml:space="preserve"> _xlfn.XLOOKUP(B37,car_master!$B37:$B73,car_master!$I37:$I73) * tax_parameters!$B$2</f>
        <v>3010000</v>
      </c>
      <c r="I75" s="8" cm="1">
        <f t="array" ref="I75">_xlfn.XLOOKUP($B75,$B$40:$B$76,$H$40:$H$76 * tax_parameters!$C$2)</f>
        <v>301000</v>
      </c>
      <c r="J75" s="8">
        <f t="shared" si="4"/>
        <v>7611000</v>
      </c>
      <c r="K75" s="8" cm="1">
        <f t="array" ref="K75">_xlfn.XLOOKUP($B75,$B75:$B111,$J75:$J111 * tax_parameters!$D$2)</f>
        <v>2131080</v>
      </c>
      <c r="L75" s="8" cm="1">
        <f t="array" ref="L75">_xlfn.XLOOKUP($B75, $B75:$B111, $J75:$J111 * 0.22)</f>
        <v>1674420</v>
      </c>
      <c r="M75" s="8">
        <f t="shared" si="5"/>
        <v>7116500</v>
      </c>
      <c r="N75" s="8">
        <f t="shared" si="6"/>
        <v>11416500</v>
      </c>
      <c r="O75" s="9" t="str">
        <f>IF(
  F76="with_FTA",
  SUMIFS(
    import_cost_model!L:L,
    import_cost_model!A:A, A76,
    import_cost_model!E:E, "no_FTA"
  ) - M76,
  ""
)</f>
        <v/>
      </c>
    </row>
    <row r="76" spans="1:15" x14ac:dyDescent="0.25">
      <c r="A76" s="7">
        <v>74</v>
      </c>
      <c r="B76" s="4">
        <v>174</v>
      </c>
      <c r="C76" s="7" t="s">
        <v>72</v>
      </c>
      <c r="D76" s="7" t="s">
        <v>79</v>
      </c>
      <c r="E76" s="4" t="s">
        <v>78</v>
      </c>
      <c r="F76" s="7" t="s">
        <v>80</v>
      </c>
      <c r="G76" s="8">
        <f>_xlfn.XLOOKUP($B38,car_master!$B38:$B74,car_master!$I38:$I74)</f>
        <v>3000000</v>
      </c>
      <c r="H76" s="8">
        <f xml:space="preserve"> _xlfn.XLOOKUP(B38,car_master!$B38:$B74,car_master!$I38:$I74) * tax_parameters!$B$2</f>
        <v>2100000</v>
      </c>
      <c r="I76" s="8" cm="1">
        <f t="array" ref="I76">_xlfn.XLOOKUP($B76,$B$40:$B$76,$H$40:$H$76 * tax_parameters!$C$2)</f>
        <v>210000</v>
      </c>
      <c r="J76" s="8">
        <f t="shared" si="4"/>
        <v>5310000</v>
      </c>
      <c r="K76" s="8" cm="1">
        <f t="array" ref="K76">_xlfn.XLOOKUP($B76,$B76:$B112,$J76:$J112 * tax_parameters!$D$2)</f>
        <v>1486800.0000000002</v>
      </c>
      <c r="L76" s="8" cm="1">
        <f t="array" ref="L76">_xlfn.XLOOKUP($B76, $B76:$B112, $J76:$J112 * 0.22)</f>
        <v>1168200</v>
      </c>
      <c r="M76" s="8">
        <f t="shared" si="5"/>
        <v>4965000</v>
      </c>
      <c r="N76" s="8">
        <f t="shared" si="6"/>
        <v>7965000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car_master</vt:lpstr>
      <vt:lpstr>tax_parameters</vt:lpstr>
      <vt:lpstr>import_cost_model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Shrivastava</cp:lastModifiedBy>
  <cp:lastPrinted>2026-01-27T16:28:06Z</cp:lastPrinted>
  <dcterms:created xsi:type="dcterms:W3CDTF">2026-01-27T12:33:55Z</dcterms:created>
  <dcterms:modified xsi:type="dcterms:W3CDTF">2026-01-28T05:52:50Z</dcterms:modified>
</cp:coreProperties>
</file>